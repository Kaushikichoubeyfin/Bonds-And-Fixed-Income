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ushiki choubey\Desktop\Badri Sir2\FM\Excel Sheets\"/>
    </mc:Choice>
  </mc:AlternateContent>
  <xr:revisionPtr revIDLastSave="0" documentId="13_ncr:1_{B07AF9D2-9ABD-44F5-9D11-EFE77E007B56}" xr6:coauthVersionLast="47" xr6:coauthVersionMax="47" xr10:uidLastSave="{00000000-0000-0000-0000-000000000000}"/>
  <bookViews>
    <workbookView xWindow="-108" yWindow="-108" windowWidth="23256" windowHeight="12456" firstSheet="2" activeTab="2" xr2:uid="{60F2BAEF-1C64-4500-88E8-2D49A8CD472E}"/>
  </bookViews>
  <sheets>
    <sheet name="Pure discount Term Structure" sheetId="3" r:id="rId1"/>
    <sheet name="Disount with few bonds for t" sheetId="4" r:id="rId2"/>
    <sheet name="d(t) with multiple bond for t" sheetId="5" r:id="rId3"/>
    <sheet name="NS Curve fitting" sheetId="1" r:id="rId4"/>
    <sheet name="T-notes" sheetId="6" r:id="rId5"/>
    <sheet name="NS for T-notes" sheetId="7" r:id="rId6"/>
  </sheets>
  <functionGroups builtInGroupCount="19"/>
  <definedNames>
    <definedName name="A_1">#REF!</definedName>
    <definedName name="A_2">#REF!</definedName>
    <definedName name="A_3">#REF!</definedName>
    <definedName name="A_4">#REF!</definedName>
    <definedName name="alpha1" localSheetId="0">'Pure discount Term Structure'!$B$2</definedName>
    <definedName name="alpha2" localSheetId="0">'Pure discount Term Structure'!$B$3</definedName>
    <definedName name="alpha3" localSheetId="0">'Pure discount Term Structure'!$B$4</definedName>
    <definedName name="beta" localSheetId="0">'Pure discount Term Structure'!$B$5</definedName>
    <definedName name="solver_adj" localSheetId="3" hidden="1">'NS Curve fitting'!$N$3:$N$6</definedName>
    <definedName name="solver_adj" localSheetId="5" hidden="1">'NS for T-notes'!$L$4:$L$7</definedName>
    <definedName name="solver_cvg" localSheetId="3" hidden="1">0.0001</definedName>
    <definedName name="solver_cvg" localSheetId="5" hidden="1">0.0001</definedName>
    <definedName name="solver_drv" localSheetId="3" hidden="1">1</definedName>
    <definedName name="solver_drv" localSheetId="5" hidden="1">1</definedName>
    <definedName name="solver_eng" localSheetId="3" hidden="1">1</definedName>
    <definedName name="solver_eng" localSheetId="5" hidden="1">1</definedName>
    <definedName name="solver_est" localSheetId="3" hidden="1">1</definedName>
    <definedName name="solver_est" localSheetId="5" hidden="1">1</definedName>
    <definedName name="solver_itr" localSheetId="3" hidden="1">2147483647</definedName>
    <definedName name="solver_itr" localSheetId="5" hidden="1">2147483647</definedName>
    <definedName name="solver_lhs1" localSheetId="3" hidden="1">'NS Curve fitting'!$N$6</definedName>
    <definedName name="solver_lhs1" localSheetId="5" hidden="1">'NS for T-notes'!$L$7</definedName>
    <definedName name="solver_mip" localSheetId="3" hidden="1">2147483647</definedName>
    <definedName name="solver_mip" localSheetId="5" hidden="1">2147483647</definedName>
    <definedName name="solver_mni" localSheetId="3" hidden="1">30</definedName>
    <definedName name="solver_mni" localSheetId="5" hidden="1">30</definedName>
    <definedName name="solver_mrt" localSheetId="3" hidden="1">0.075</definedName>
    <definedName name="solver_mrt" localSheetId="5" hidden="1">0.075</definedName>
    <definedName name="solver_msl" localSheetId="3" hidden="1">2</definedName>
    <definedName name="solver_msl" localSheetId="5" hidden="1">2</definedName>
    <definedName name="solver_neg" localSheetId="3" hidden="1">2</definedName>
    <definedName name="solver_neg" localSheetId="5" hidden="1">2</definedName>
    <definedName name="solver_nod" localSheetId="3" hidden="1">2147483647</definedName>
    <definedName name="solver_nod" localSheetId="5" hidden="1">2147483647</definedName>
    <definedName name="solver_num" localSheetId="3" hidden="1">1</definedName>
    <definedName name="solver_num" localSheetId="5" hidden="1">1</definedName>
    <definedName name="solver_nwt" localSheetId="3" hidden="1">1</definedName>
    <definedName name="solver_nwt" localSheetId="5" hidden="1">1</definedName>
    <definedName name="solver_opt" localSheetId="3" hidden="1">'NS Curve fitting'!$N$7</definedName>
    <definedName name="solver_opt" localSheetId="5" hidden="1">'NS for T-notes'!$L$8</definedName>
    <definedName name="solver_pre" localSheetId="3" hidden="1">0.000001</definedName>
    <definedName name="solver_pre" localSheetId="5" hidden="1">0.000001</definedName>
    <definedName name="solver_rbv" localSheetId="3" hidden="1">1</definedName>
    <definedName name="solver_rbv" localSheetId="5" hidden="1">1</definedName>
    <definedName name="solver_rel1" localSheetId="3" hidden="1">3</definedName>
    <definedName name="solver_rel1" localSheetId="5" hidden="1">3</definedName>
    <definedName name="solver_rhs1" localSheetId="3" hidden="1">0</definedName>
    <definedName name="solver_rhs1" localSheetId="5" hidden="1">0</definedName>
    <definedName name="solver_rlx" localSheetId="3" hidden="1">2</definedName>
    <definedName name="solver_rlx" localSheetId="5" hidden="1">2</definedName>
    <definedName name="solver_rsd" localSheetId="3" hidden="1">0</definedName>
    <definedName name="solver_rsd" localSheetId="5" hidden="1">0</definedName>
    <definedName name="solver_scl" localSheetId="3" hidden="1">1</definedName>
    <definedName name="solver_scl" localSheetId="5" hidden="1">1</definedName>
    <definedName name="solver_sho" localSheetId="3" hidden="1">2</definedName>
    <definedName name="solver_sho" localSheetId="5" hidden="1">2</definedName>
    <definedName name="solver_ssz" localSheetId="3" hidden="1">100</definedName>
    <definedName name="solver_ssz" localSheetId="5" hidden="1">100</definedName>
    <definedName name="solver_tim" localSheetId="3" hidden="1">2147483647</definedName>
    <definedName name="solver_tim" localSheetId="5" hidden="1">2147483647</definedName>
    <definedName name="solver_tol" localSheetId="3" hidden="1">0.01</definedName>
    <definedName name="solver_tol" localSheetId="5" hidden="1">0.01</definedName>
    <definedName name="solver_typ" localSheetId="3" hidden="1">2</definedName>
    <definedName name="solver_typ" localSheetId="5" hidden="1">2</definedName>
    <definedName name="solver_val" localSheetId="3" hidden="1">0</definedName>
    <definedName name="solver_val" localSheetId="5" hidden="1">0</definedName>
    <definedName name="solver_ver" localSheetId="3" hidden="1">3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7" l="1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4" i="7"/>
  <c r="E312" i="7"/>
  <c r="F312" i="7" s="1"/>
  <c r="E311" i="7"/>
  <c r="F311" i="7" s="1"/>
  <c r="E310" i="7"/>
  <c r="F310" i="7" s="1"/>
  <c r="E309" i="7"/>
  <c r="F309" i="7" s="1"/>
  <c r="E308" i="7"/>
  <c r="F308" i="7" s="1"/>
  <c r="E307" i="7"/>
  <c r="F307" i="7" s="1"/>
  <c r="E306" i="7"/>
  <c r="F306" i="7" s="1"/>
  <c r="E305" i="7"/>
  <c r="F305" i="7" s="1"/>
  <c r="E304" i="7"/>
  <c r="F304" i="7" s="1"/>
  <c r="E303" i="7"/>
  <c r="F303" i="7" s="1"/>
  <c r="E302" i="7"/>
  <c r="F302" i="7" s="1"/>
  <c r="E301" i="7"/>
  <c r="F301" i="7" s="1"/>
  <c r="E300" i="7"/>
  <c r="F300" i="7" s="1"/>
  <c r="E299" i="7"/>
  <c r="F299" i="7" s="1"/>
  <c r="E298" i="7"/>
  <c r="F298" i="7" s="1"/>
  <c r="E297" i="7"/>
  <c r="F297" i="7" s="1"/>
  <c r="E296" i="7"/>
  <c r="F296" i="7" s="1"/>
  <c r="E295" i="7"/>
  <c r="F295" i="7" s="1"/>
  <c r="E294" i="7"/>
  <c r="F294" i="7" s="1"/>
  <c r="E293" i="7"/>
  <c r="F293" i="7" s="1"/>
  <c r="E292" i="7"/>
  <c r="F292" i="7" s="1"/>
  <c r="E291" i="7"/>
  <c r="F291" i="7" s="1"/>
  <c r="E290" i="7"/>
  <c r="F290" i="7" s="1"/>
  <c r="E289" i="7"/>
  <c r="F289" i="7" s="1"/>
  <c r="E288" i="7"/>
  <c r="F288" i="7" s="1"/>
  <c r="E287" i="7"/>
  <c r="F287" i="7" s="1"/>
  <c r="E286" i="7"/>
  <c r="F286" i="7" s="1"/>
  <c r="E285" i="7"/>
  <c r="F285" i="7" s="1"/>
  <c r="E284" i="7"/>
  <c r="F284" i="7" s="1"/>
  <c r="E283" i="7"/>
  <c r="F283" i="7" s="1"/>
  <c r="E282" i="7"/>
  <c r="F282" i="7" s="1"/>
  <c r="E281" i="7"/>
  <c r="F281" i="7" s="1"/>
  <c r="E280" i="7"/>
  <c r="F280" i="7" s="1"/>
  <c r="E279" i="7"/>
  <c r="F279" i="7" s="1"/>
  <c r="E278" i="7"/>
  <c r="F278" i="7" s="1"/>
  <c r="E277" i="7"/>
  <c r="F277" i="7" s="1"/>
  <c r="E276" i="7"/>
  <c r="F276" i="7" s="1"/>
  <c r="E275" i="7"/>
  <c r="F275" i="7" s="1"/>
  <c r="E274" i="7"/>
  <c r="F274" i="7" s="1"/>
  <c r="E273" i="7"/>
  <c r="F273" i="7" s="1"/>
  <c r="E272" i="7"/>
  <c r="F272" i="7" s="1"/>
  <c r="E271" i="7"/>
  <c r="F271" i="7" s="1"/>
  <c r="F270" i="7"/>
  <c r="E270" i="7"/>
  <c r="F269" i="7"/>
  <c r="E269" i="7"/>
  <c r="E268" i="7"/>
  <c r="F268" i="7" s="1"/>
  <c r="E267" i="7"/>
  <c r="F267" i="7" s="1"/>
  <c r="E266" i="7"/>
  <c r="F266" i="7" s="1"/>
  <c r="F265" i="7"/>
  <c r="E265" i="7"/>
  <c r="E264" i="7"/>
  <c r="F264" i="7" s="1"/>
  <c r="E263" i="7"/>
  <c r="F263" i="7" s="1"/>
  <c r="E262" i="7"/>
  <c r="F262" i="7" s="1"/>
  <c r="E261" i="7"/>
  <c r="F261" i="7" s="1"/>
  <c r="E260" i="7"/>
  <c r="F260" i="7" s="1"/>
  <c r="E259" i="7"/>
  <c r="F259" i="7" s="1"/>
  <c r="F258" i="7"/>
  <c r="E258" i="7"/>
  <c r="E257" i="7"/>
  <c r="F257" i="7" s="1"/>
  <c r="E256" i="7"/>
  <c r="F256" i="7" s="1"/>
  <c r="E255" i="7"/>
  <c r="F255" i="7" s="1"/>
  <c r="F254" i="7"/>
  <c r="E254" i="7"/>
  <c r="F253" i="7"/>
  <c r="E253" i="7"/>
  <c r="E252" i="7"/>
  <c r="F252" i="7" s="1"/>
  <c r="E251" i="7"/>
  <c r="F251" i="7" s="1"/>
  <c r="E250" i="7"/>
  <c r="F250" i="7" s="1"/>
  <c r="E249" i="7"/>
  <c r="F249" i="7" s="1"/>
  <c r="E248" i="7"/>
  <c r="F248" i="7" s="1"/>
  <c r="E247" i="7"/>
  <c r="F247" i="7" s="1"/>
  <c r="E246" i="7"/>
  <c r="F246" i="7" s="1"/>
  <c r="F245" i="7"/>
  <c r="E245" i="7"/>
  <c r="E244" i="7"/>
  <c r="F244" i="7" s="1"/>
  <c r="E243" i="7"/>
  <c r="F243" i="7" s="1"/>
  <c r="E242" i="7"/>
  <c r="F242" i="7" s="1"/>
  <c r="E241" i="7"/>
  <c r="F241" i="7" s="1"/>
  <c r="E240" i="7"/>
  <c r="F240" i="7" s="1"/>
  <c r="F239" i="7"/>
  <c r="E239" i="7"/>
  <c r="E238" i="7"/>
  <c r="F238" i="7" s="1"/>
  <c r="E237" i="7"/>
  <c r="F237" i="7" s="1"/>
  <c r="E236" i="7"/>
  <c r="F236" i="7" s="1"/>
  <c r="E235" i="7"/>
  <c r="F235" i="7" s="1"/>
  <c r="E234" i="7"/>
  <c r="F234" i="7" s="1"/>
  <c r="E233" i="7"/>
  <c r="F233" i="7" s="1"/>
  <c r="E232" i="7"/>
  <c r="F232" i="7" s="1"/>
  <c r="F231" i="7"/>
  <c r="E231" i="7"/>
  <c r="F230" i="7"/>
  <c r="E230" i="7"/>
  <c r="E229" i="7"/>
  <c r="F229" i="7" s="1"/>
  <c r="E228" i="7"/>
  <c r="F228" i="7" s="1"/>
  <c r="E227" i="7"/>
  <c r="F227" i="7" s="1"/>
  <c r="E226" i="7"/>
  <c r="F226" i="7" s="1"/>
  <c r="E225" i="7"/>
  <c r="F225" i="7" s="1"/>
  <c r="E224" i="7"/>
  <c r="F224" i="7" s="1"/>
  <c r="E223" i="7"/>
  <c r="F223" i="7" s="1"/>
  <c r="F222" i="7"/>
  <c r="E222" i="7"/>
  <c r="F221" i="7"/>
  <c r="E221" i="7"/>
  <c r="E220" i="7"/>
  <c r="F220" i="7" s="1"/>
  <c r="E219" i="7"/>
  <c r="F219" i="7" s="1"/>
  <c r="E218" i="7"/>
  <c r="F218" i="7" s="1"/>
  <c r="E217" i="7"/>
  <c r="F217" i="7" s="1"/>
  <c r="E216" i="7"/>
  <c r="F216" i="7" s="1"/>
  <c r="E215" i="7"/>
  <c r="F215" i="7" s="1"/>
  <c r="E214" i="7"/>
  <c r="F214" i="7" s="1"/>
  <c r="F213" i="7"/>
  <c r="E213" i="7"/>
  <c r="E212" i="7"/>
  <c r="F212" i="7" s="1"/>
  <c r="E211" i="7"/>
  <c r="F211" i="7" s="1"/>
  <c r="E210" i="7"/>
  <c r="F210" i="7" s="1"/>
  <c r="E209" i="7"/>
  <c r="F209" i="7" s="1"/>
  <c r="E208" i="7"/>
  <c r="F208" i="7" s="1"/>
  <c r="F207" i="7"/>
  <c r="E207" i="7"/>
  <c r="E206" i="7"/>
  <c r="F206" i="7" s="1"/>
  <c r="E205" i="7"/>
  <c r="F205" i="7" s="1"/>
  <c r="E204" i="7"/>
  <c r="F204" i="7" s="1"/>
  <c r="E203" i="7"/>
  <c r="F203" i="7" s="1"/>
  <c r="E202" i="7"/>
  <c r="F202" i="7" s="1"/>
  <c r="E201" i="7"/>
  <c r="F201" i="7" s="1"/>
  <c r="E200" i="7"/>
  <c r="F200" i="7" s="1"/>
  <c r="F199" i="7"/>
  <c r="E199" i="7"/>
  <c r="F198" i="7"/>
  <c r="E198" i="7"/>
  <c r="E197" i="7"/>
  <c r="F197" i="7" s="1"/>
  <c r="E196" i="7"/>
  <c r="F196" i="7" s="1"/>
  <c r="E195" i="7"/>
  <c r="F195" i="7" s="1"/>
  <c r="E194" i="7"/>
  <c r="F194" i="7" s="1"/>
  <c r="E193" i="7"/>
  <c r="F193" i="7" s="1"/>
  <c r="E192" i="7"/>
  <c r="F192" i="7" s="1"/>
  <c r="E191" i="7"/>
  <c r="F191" i="7" s="1"/>
  <c r="F190" i="7"/>
  <c r="E190" i="7"/>
  <c r="F189" i="7"/>
  <c r="E189" i="7"/>
  <c r="E188" i="7"/>
  <c r="F188" i="7" s="1"/>
  <c r="E187" i="7"/>
  <c r="F187" i="7" s="1"/>
  <c r="E186" i="7"/>
  <c r="F186" i="7" s="1"/>
  <c r="E185" i="7"/>
  <c r="F185" i="7" s="1"/>
  <c r="E184" i="7"/>
  <c r="F184" i="7" s="1"/>
  <c r="E183" i="7"/>
  <c r="F183" i="7" s="1"/>
  <c r="E182" i="7"/>
  <c r="F182" i="7" s="1"/>
  <c r="F181" i="7"/>
  <c r="E181" i="7"/>
  <c r="E180" i="7"/>
  <c r="F180" i="7" s="1"/>
  <c r="E179" i="7"/>
  <c r="F179" i="7" s="1"/>
  <c r="E178" i="7"/>
  <c r="F178" i="7" s="1"/>
  <c r="E177" i="7"/>
  <c r="F177" i="7" s="1"/>
  <c r="E176" i="7"/>
  <c r="F176" i="7" s="1"/>
  <c r="F175" i="7"/>
  <c r="E175" i="7"/>
  <c r="E174" i="7"/>
  <c r="F174" i="7" s="1"/>
  <c r="E173" i="7"/>
  <c r="F173" i="7" s="1"/>
  <c r="E172" i="7"/>
  <c r="F172" i="7" s="1"/>
  <c r="E171" i="7"/>
  <c r="F171" i="7" s="1"/>
  <c r="E170" i="7"/>
  <c r="F170" i="7" s="1"/>
  <c r="E169" i="7"/>
  <c r="F169" i="7" s="1"/>
  <c r="E168" i="7"/>
  <c r="F168" i="7" s="1"/>
  <c r="F167" i="7"/>
  <c r="E167" i="7"/>
  <c r="F166" i="7"/>
  <c r="E166" i="7"/>
  <c r="E165" i="7"/>
  <c r="F165" i="7" s="1"/>
  <c r="E164" i="7"/>
  <c r="F164" i="7" s="1"/>
  <c r="E163" i="7"/>
  <c r="F163" i="7" s="1"/>
  <c r="E162" i="7"/>
  <c r="F162" i="7" s="1"/>
  <c r="E161" i="7"/>
  <c r="F161" i="7" s="1"/>
  <c r="E160" i="7"/>
  <c r="F160" i="7" s="1"/>
  <c r="E159" i="7"/>
  <c r="F159" i="7" s="1"/>
  <c r="F158" i="7"/>
  <c r="E158" i="7"/>
  <c r="F157" i="7"/>
  <c r="E157" i="7"/>
  <c r="E156" i="7"/>
  <c r="F156" i="7" s="1"/>
  <c r="E155" i="7"/>
  <c r="F155" i="7" s="1"/>
  <c r="E154" i="7"/>
  <c r="F154" i="7" s="1"/>
  <c r="E153" i="7"/>
  <c r="F153" i="7" s="1"/>
  <c r="E152" i="7"/>
  <c r="F152" i="7" s="1"/>
  <c r="E151" i="7"/>
  <c r="F151" i="7" s="1"/>
  <c r="E150" i="7"/>
  <c r="F150" i="7" s="1"/>
  <c r="F149" i="7"/>
  <c r="E149" i="7"/>
  <c r="E148" i="7"/>
  <c r="F148" i="7" s="1"/>
  <c r="E147" i="7"/>
  <c r="F147" i="7" s="1"/>
  <c r="E146" i="7"/>
  <c r="F146" i="7" s="1"/>
  <c r="E145" i="7"/>
  <c r="F145" i="7" s="1"/>
  <c r="E144" i="7"/>
  <c r="F144" i="7" s="1"/>
  <c r="F143" i="7"/>
  <c r="E143" i="7"/>
  <c r="E142" i="7"/>
  <c r="F142" i="7" s="1"/>
  <c r="E141" i="7"/>
  <c r="F141" i="7" s="1"/>
  <c r="E140" i="7"/>
  <c r="F140" i="7" s="1"/>
  <c r="E139" i="7"/>
  <c r="F139" i="7" s="1"/>
  <c r="E138" i="7"/>
  <c r="F138" i="7" s="1"/>
  <c r="E137" i="7"/>
  <c r="F137" i="7" s="1"/>
  <c r="E136" i="7"/>
  <c r="F136" i="7" s="1"/>
  <c r="F135" i="7"/>
  <c r="E135" i="7"/>
  <c r="F134" i="7"/>
  <c r="E134" i="7"/>
  <c r="E133" i="7"/>
  <c r="F133" i="7" s="1"/>
  <c r="E132" i="7"/>
  <c r="F132" i="7" s="1"/>
  <c r="E131" i="7"/>
  <c r="F131" i="7" s="1"/>
  <c r="E130" i="7"/>
  <c r="F130" i="7" s="1"/>
  <c r="E129" i="7"/>
  <c r="F129" i="7" s="1"/>
  <c r="E128" i="7"/>
  <c r="F128" i="7" s="1"/>
  <c r="E127" i="7"/>
  <c r="F127" i="7" s="1"/>
  <c r="F126" i="7"/>
  <c r="E126" i="7"/>
  <c r="F125" i="7"/>
  <c r="E125" i="7"/>
  <c r="E124" i="7"/>
  <c r="F124" i="7" s="1"/>
  <c r="E123" i="7"/>
  <c r="F123" i="7" s="1"/>
  <c r="E122" i="7"/>
  <c r="F122" i="7" s="1"/>
  <c r="E121" i="7"/>
  <c r="F121" i="7" s="1"/>
  <c r="E120" i="7"/>
  <c r="F120" i="7" s="1"/>
  <c r="E119" i="7"/>
  <c r="F119" i="7" s="1"/>
  <c r="E118" i="7"/>
  <c r="F118" i="7" s="1"/>
  <c r="F117" i="7"/>
  <c r="E117" i="7"/>
  <c r="E116" i="7"/>
  <c r="F116" i="7" s="1"/>
  <c r="E115" i="7"/>
  <c r="F115" i="7" s="1"/>
  <c r="E114" i="7"/>
  <c r="F114" i="7" s="1"/>
  <c r="E113" i="7"/>
  <c r="F113" i="7" s="1"/>
  <c r="E112" i="7"/>
  <c r="F112" i="7" s="1"/>
  <c r="F111" i="7"/>
  <c r="E111" i="7"/>
  <c r="E110" i="7"/>
  <c r="F110" i="7" s="1"/>
  <c r="E109" i="7"/>
  <c r="F109" i="7" s="1"/>
  <c r="E108" i="7"/>
  <c r="F108" i="7" s="1"/>
  <c r="E107" i="7"/>
  <c r="F107" i="7" s="1"/>
  <c r="E106" i="7"/>
  <c r="F106" i="7" s="1"/>
  <c r="E105" i="7"/>
  <c r="F105" i="7" s="1"/>
  <c r="E104" i="7"/>
  <c r="F104" i="7" s="1"/>
  <c r="F103" i="7"/>
  <c r="E103" i="7"/>
  <c r="F102" i="7"/>
  <c r="E102" i="7"/>
  <c r="E101" i="7"/>
  <c r="F101" i="7" s="1"/>
  <c r="E100" i="7"/>
  <c r="F100" i="7" s="1"/>
  <c r="E99" i="7"/>
  <c r="F99" i="7" s="1"/>
  <c r="E98" i="7"/>
  <c r="F98" i="7" s="1"/>
  <c r="E97" i="7"/>
  <c r="F97" i="7" s="1"/>
  <c r="E96" i="7"/>
  <c r="F96" i="7" s="1"/>
  <c r="E95" i="7"/>
  <c r="F95" i="7" s="1"/>
  <c r="F94" i="7"/>
  <c r="E94" i="7"/>
  <c r="F93" i="7"/>
  <c r="E93" i="7"/>
  <c r="E92" i="7"/>
  <c r="F92" i="7" s="1"/>
  <c r="E91" i="7"/>
  <c r="F91" i="7" s="1"/>
  <c r="E90" i="7"/>
  <c r="F90" i="7" s="1"/>
  <c r="E89" i="7"/>
  <c r="F89" i="7" s="1"/>
  <c r="E88" i="7"/>
  <c r="F88" i="7" s="1"/>
  <c r="E87" i="7"/>
  <c r="F87" i="7" s="1"/>
  <c r="E86" i="7"/>
  <c r="F86" i="7" s="1"/>
  <c r="F85" i="7"/>
  <c r="E85" i="7"/>
  <c r="E84" i="7"/>
  <c r="F84" i="7" s="1"/>
  <c r="E83" i="7"/>
  <c r="F83" i="7" s="1"/>
  <c r="E82" i="7"/>
  <c r="F82" i="7" s="1"/>
  <c r="E81" i="7"/>
  <c r="F81" i="7" s="1"/>
  <c r="E80" i="7"/>
  <c r="F80" i="7" s="1"/>
  <c r="F79" i="7"/>
  <c r="E79" i="7"/>
  <c r="E78" i="7"/>
  <c r="F78" i="7" s="1"/>
  <c r="E77" i="7"/>
  <c r="F77" i="7" s="1"/>
  <c r="E76" i="7"/>
  <c r="F76" i="7" s="1"/>
  <c r="E75" i="7"/>
  <c r="F75" i="7" s="1"/>
  <c r="E74" i="7"/>
  <c r="F74" i="7" s="1"/>
  <c r="E73" i="7"/>
  <c r="F73" i="7" s="1"/>
  <c r="E72" i="7"/>
  <c r="F72" i="7" s="1"/>
  <c r="F71" i="7"/>
  <c r="E71" i="7"/>
  <c r="F70" i="7"/>
  <c r="E70" i="7"/>
  <c r="E69" i="7"/>
  <c r="F69" i="7" s="1"/>
  <c r="E68" i="7"/>
  <c r="F68" i="7" s="1"/>
  <c r="E67" i="7"/>
  <c r="F67" i="7" s="1"/>
  <c r="E66" i="7"/>
  <c r="F66" i="7" s="1"/>
  <c r="E65" i="7"/>
  <c r="F65" i="7" s="1"/>
  <c r="E64" i="7"/>
  <c r="F64" i="7" s="1"/>
  <c r="E63" i="7"/>
  <c r="F63" i="7" s="1"/>
  <c r="F62" i="7"/>
  <c r="E62" i="7"/>
  <c r="F61" i="7"/>
  <c r="E61" i="7"/>
  <c r="E60" i="7"/>
  <c r="F60" i="7" s="1"/>
  <c r="E59" i="7"/>
  <c r="F59" i="7" s="1"/>
  <c r="E58" i="7"/>
  <c r="F58" i="7" s="1"/>
  <c r="E57" i="7"/>
  <c r="F57" i="7" s="1"/>
  <c r="E56" i="7"/>
  <c r="F56" i="7" s="1"/>
  <c r="E55" i="7"/>
  <c r="F55" i="7" s="1"/>
  <c r="E54" i="7"/>
  <c r="F54" i="7" s="1"/>
  <c r="F53" i="7"/>
  <c r="E53" i="7"/>
  <c r="E52" i="7"/>
  <c r="F52" i="7" s="1"/>
  <c r="E51" i="7"/>
  <c r="F51" i="7" s="1"/>
  <c r="E50" i="7"/>
  <c r="F50" i="7" s="1"/>
  <c r="E49" i="7"/>
  <c r="F49" i="7" s="1"/>
  <c r="E48" i="7"/>
  <c r="F48" i="7" s="1"/>
  <c r="F47" i="7"/>
  <c r="E47" i="7"/>
  <c r="E46" i="7"/>
  <c r="F46" i="7" s="1"/>
  <c r="E45" i="7"/>
  <c r="F45" i="7" s="1"/>
  <c r="E44" i="7"/>
  <c r="F44" i="7" s="1"/>
  <c r="E43" i="7"/>
  <c r="F43" i="7" s="1"/>
  <c r="E42" i="7"/>
  <c r="F42" i="7" s="1"/>
  <c r="E41" i="7"/>
  <c r="F41" i="7" s="1"/>
  <c r="E40" i="7"/>
  <c r="F40" i="7" s="1"/>
  <c r="F39" i="7"/>
  <c r="E39" i="7"/>
  <c r="F38" i="7"/>
  <c r="E38" i="7"/>
  <c r="E37" i="7"/>
  <c r="F37" i="7" s="1"/>
  <c r="E36" i="7"/>
  <c r="F36" i="7" s="1"/>
  <c r="E35" i="7"/>
  <c r="F35" i="7" s="1"/>
  <c r="E34" i="7"/>
  <c r="F34" i="7" s="1"/>
  <c r="E33" i="7"/>
  <c r="F33" i="7" s="1"/>
  <c r="E32" i="7"/>
  <c r="F32" i="7" s="1"/>
  <c r="E31" i="7"/>
  <c r="F31" i="7" s="1"/>
  <c r="F30" i="7"/>
  <c r="E30" i="7"/>
  <c r="F29" i="7"/>
  <c r="E29" i="7"/>
  <c r="E28" i="7"/>
  <c r="F28" i="7" s="1"/>
  <c r="E27" i="7"/>
  <c r="F27" i="7" s="1"/>
  <c r="E26" i="7"/>
  <c r="F26" i="7" s="1"/>
  <c r="E25" i="7"/>
  <c r="F25" i="7" s="1"/>
  <c r="E24" i="7"/>
  <c r="F24" i="7" s="1"/>
  <c r="E23" i="7"/>
  <c r="F23" i="7" s="1"/>
  <c r="E22" i="7"/>
  <c r="F22" i="7" s="1"/>
  <c r="F21" i="7"/>
  <c r="E21" i="7"/>
  <c r="E20" i="7"/>
  <c r="F20" i="7" s="1"/>
  <c r="E19" i="7"/>
  <c r="F19" i="7" s="1"/>
  <c r="E18" i="7"/>
  <c r="F18" i="7" s="1"/>
  <c r="E17" i="7"/>
  <c r="F17" i="7" s="1"/>
  <c r="E16" i="7"/>
  <c r="F16" i="7" s="1"/>
  <c r="F15" i="7"/>
  <c r="E15" i="7"/>
  <c r="E14" i="7"/>
  <c r="F14" i="7" s="1"/>
  <c r="E13" i="7"/>
  <c r="F13" i="7" s="1"/>
  <c r="E12" i="7"/>
  <c r="F12" i="7" s="1"/>
  <c r="E11" i="7"/>
  <c r="F11" i="7" s="1"/>
  <c r="E10" i="7"/>
  <c r="F10" i="7" s="1"/>
  <c r="E9" i="7"/>
  <c r="F9" i="7" s="1"/>
  <c r="E8" i="7"/>
  <c r="F8" i="7" s="1"/>
  <c r="F7" i="7"/>
  <c r="E7" i="7"/>
  <c r="F6" i="7"/>
  <c r="E6" i="7"/>
  <c r="E5" i="7"/>
  <c r="F5" i="7" s="1"/>
  <c r="E4" i="7"/>
  <c r="F4" i="7" s="1"/>
  <c r="E5" i="6"/>
  <c r="E6" i="6"/>
  <c r="E7" i="6"/>
  <c r="E8" i="6"/>
  <c r="E9" i="6"/>
  <c r="E10" i="6"/>
  <c r="F10" i="6" s="1"/>
  <c r="E11" i="6"/>
  <c r="F11" i="6" s="1"/>
  <c r="E12" i="6"/>
  <c r="F12" i="6" s="1"/>
  <c r="E13" i="6"/>
  <c r="E14" i="6"/>
  <c r="E15" i="6"/>
  <c r="E16" i="6"/>
  <c r="F16" i="6" s="1"/>
  <c r="E17" i="6"/>
  <c r="F17" i="6" s="1"/>
  <c r="E18" i="6"/>
  <c r="F18" i="6" s="1"/>
  <c r="E19" i="6"/>
  <c r="F19" i="6" s="1"/>
  <c r="E20" i="6"/>
  <c r="F20" i="6" s="1"/>
  <c r="E21" i="6"/>
  <c r="E22" i="6"/>
  <c r="E23" i="6"/>
  <c r="F23" i="6" s="1"/>
  <c r="E24" i="6"/>
  <c r="E25" i="6"/>
  <c r="E26" i="6"/>
  <c r="E27" i="6"/>
  <c r="F27" i="6" s="1"/>
  <c r="E28" i="6"/>
  <c r="F28" i="6" s="1"/>
  <c r="E29" i="6"/>
  <c r="E30" i="6"/>
  <c r="E31" i="6"/>
  <c r="E32" i="6"/>
  <c r="E33" i="6"/>
  <c r="F33" i="6" s="1"/>
  <c r="E34" i="6"/>
  <c r="F34" i="6" s="1"/>
  <c r="E35" i="6"/>
  <c r="E36" i="6"/>
  <c r="F36" i="6" s="1"/>
  <c r="E37" i="6"/>
  <c r="E38" i="6"/>
  <c r="E39" i="6"/>
  <c r="E40" i="6"/>
  <c r="F40" i="6" s="1"/>
  <c r="E41" i="6"/>
  <c r="F41" i="6" s="1"/>
  <c r="E42" i="6"/>
  <c r="F42" i="6" s="1"/>
  <c r="E43" i="6"/>
  <c r="F43" i="6" s="1"/>
  <c r="E44" i="6"/>
  <c r="F44" i="6" s="1"/>
  <c r="E45" i="6"/>
  <c r="E46" i="6"/>
  <c r="E47" i="6"/>
  <c r="F47" i="6" s="1"/>
  <c r="E48" i="6"/>
  <c r="E49" i="6"/>
  <c r="E50" i="6"/>
  <c r="E51" i="6"/>
  <c r="F51" i="6" s="1"/>
  <c r="E52" i="6"/>
  <c r="F52" i="6" s="1"/>
  <c r="E53" i="6"/>
  <c r="E54" i="6"/>
  <c r="E55" i="6"/>
  <c r="E56" i="6"/>
  <c r="F56" i="6" s="1"/>
  <c r="E57" i="6"/>
  <c r="F57" i="6" s="1"/>
  <c r="E58" i="6"/>
  <c r="F58" i="6" s="1"/>
  <c r="E59" i="6"/>
  <c r="E60" i="6"/>
  <c r="F60" i="6" s="1"/>
  <c r="E61" i="6"/>
  <c r="E62" i="6"/>
  <c r="E63" i="6"/>
  <c r="E64" i="6"/>
  <c r="E65" i="6"/>
  <c r="E66" i="6"/>
  <c r="E67" i="6"/>
  <c r="F67" i="6" s="1"/>
  <c r="E68" i="6"/>
  <c r="F68" i="6" s="1"/>
  <c r="E69" i="6"/>
  <c r="E70" i="6"/>
  <c r="E71" i="6"/>
  <c r="E72" i="6"/>
  <c r="E73" i="6"/>
  <c r="E74" i="6"/>
  <c r="F74" i="6" s="1"/>
  <c r="E75" i="6"/>
  <c r="F75" i="6" s="1"/>
  <c r="E76" i="6"/>
  <c r="F76" i="6" s="1"/>
  <c r="E77" i="6"/>
  <c r="E78" i="6"/>
  <c r="E79" i="6"/>
  <c r="E80" i="6"/>
  <c r="F80" i="6" s="1"/>
  <c r="E81" i="6"/>
  <c r="F81" i="6" s="1"/>
  <c r="E82" i="6"/>
  <c r="F82" i="6" s="1"/>
  <c r="E83" i="6"/>
  <c r="F83" i="6" s="1"/>
  <c r="E84" i="6"/>
  <c r="F84" i="6" s="1"/>
  <c r="E85" i="6"/>
  <c r="E86" i="6"/>
  <c r="E87" i="6"/>
  <c r="F87" i="6" s="1"/>
  <c r="E88" i="6"/>
  <c r="E89" i="6"/>
  <c r="E90" i="6"/>
  <c r="E91" i="6"/>
  <c r="F91" i="6" s="1"/>
  <c r="E92" i="6"/>
  <c r="F92" i="6" s="1"/>
  <c r="E93" i="6"/>
  <c r="E94" i="6"/>
  <c r="E95" i="6"/>
  <c r="E96" i="6"/>
  <c r="E97" i="6"/>
  <c r="F97" i="6" s="1"/>
  <c r="E98" i="6"/>
  <c r="F98" i="6" s="1"/>
  <c r="E99" i="6"/>
  <c r="E100" i="6"/>
  <c r="F100" i="6" s="1"/>
  <c r="E101" i="6"/>
  <c r="E102" i="6"/>
  <c r="E103" i="6"/>
  <c r="E104" i="6"/>
  <c r="F104" i="6" s="1"/>
  <c r="E105" i="6"/>
  <c r="F105" i="6" s="1"/>
  <c r="E106" i="6"/>
  <c r="F106" i="6" s="1"/>
  <c r="E107" i="6"/>
  <c r="F107" i="6" s="1"/>
  <c r="E108" i="6"/>
  <c r="F108" i="6" s="1"/>
  <c r="E109" i="6"/>
  <c r="E110" i="6"/>
  <c r="E111" i="6"/>
  <c r="F111" i="6" s="1"/>
  <c r="E112" i="6"/>
  <c r="E113" i="6"/>
  <c r="E114" i="6"/>
  <c r="E115" i="6"/>
  <c r="F115" i="6" s="1"/>
  <c r="E116" i="6"/>
  <c r="F116" i="6" s="1"/>
  <c r="E117" i="6"/>
  <c r="E118" i="6"/>
  <c r="E119" i="6"/>
  <c r="E120" i="6"/>
  <c r="F120" i="6" s="1"/>
  <c r="E121" i="6"/>
  <c r="F121" i="6" s="1"/>
  <c r="E122" i="6"/>
  <c r="F122" i="6" s="1"/>
  <c r="E123" i="6"/>
  <c r="E124" i="6"/>
  <c r="F124" i="6" s="1"/>
  <c r="E125" i="6"/>
  <c r="E126" i="6"/>
  <c r="E127" i="6"/>
  <c r="E128" i="6"/>
  <c r="E129" i="6"/>
  <c r="E130" i="6"/>
  <c r="E131" i="6"/>
  <c r="F131" i="6" s="1"/>
  <c r="E132" i="6"/>
  <c r="F132" i="6" s="1"/>
  <c r="E133" i="6"/>
  <c r="E134" i="6"/>
  <c r="E135" i="6"/>
  <c r="E136" i="6"/>
  <c r="E137" i="6"/>
  <c r="E138" i="6"/>
  <c r="F138" i="6" s="1"/>
  <c r="E139" i="6"/>
  <c r="F139" i="6" s="1"/>
  <c r="E140" i="6"/>
  <c r="F140" i="6" s="1"/>
  <c r="E141" i="6"/>
  <c r="E142" i="6"/>
  <c r="E143" i="6"/>
  <c r="E144" i="6"/>
  <c r="F144" i="6" s="1"/>
  <c r="E145" i="6"/>
  <c r="F145" i="6" s="1"/>
  <c r="E146" i="6"/>
  <c r="F146" i="6" s="1"/>
  <c r="E147" i="6"/>
  <c r="F147" i="6" s="1"/>
  <c r="E148" i="6"/>
  <c r="F148" i="6" s="1"/>
  <c r="E149" i="6"/>
  <c r="E150" i="6"/>
  <c r="E151" i="6"/>
  <c r="F151" i="6" s="1"/>
  <c r="E152" i="6"/>
  <c r="E153" i="6"/>
  <c r="E154" i="6"/>
  <c r="E155" i="6"/>
  <c r="F155" i="6" s="1"/>
  <c r="E156" i="6"/>
  <c r="F156" i="6" s="1"/>
  <c r="E157" i="6"/>
  <c r="E158" i="6"/>
  <c r="E159" i="6"/>
  <c r="E160" i="6"/>
  <c r="E161" i="6"/>
  <c r="F161" i="6" s="1"/>
  <c r="E162" i="6"/>
  <c r="F162" i="6" s="1"/>
  <c r="E163" i="6"/>
  <c r="E164" i="6"/>
  <c r="F164" i="6" s="1"/>
  <c r="E165" i="6"/>
  <c r="E166" i="6"/>
  <c r="E167" i="6"/>
  <c r="E168" i="6"/>
  <c r="F168" i="6" s="1"/>
  <c r="E169" i="6"/>
  <c r="F169" i="6" s="1"/>
  <c r="E170" i="6"/>
  <c r="F170" i="6" s="1"/>
  <c r="E171" i="6"/>
  <c r="F171" i="6" s="1"/>
  <c r="E172" i="6"/>
  <c r="F172" i="6" s="1"/>
  <c r="E173" i="6"/>
  <c r="E174" i="6"/>
  <c r="E175" i="6"/>
  <c r="F175" i="6" s="1"/>
  <c r="E176" i="6"/>
  <c r="E177" i="6"/>
  <c r="E178" i="6"/>
  <c r="E179" i="6"/>
  <c r="F179" i="6" s="1"/>
  <c r="E180" i="6"/>
  <c r="F180" i="6" s="1"/>
  <c r="E181" i="6"/>
  <c r="E182" i="6"/>
  <c r="E183" i="6"/>
  <c r="E184" i="6"/>
  <c r="F184" i="6" s="1"/>
  <c r="E185" i="6"/>
  <c r="F185" i="6" s="1"/>
  <c r="E186" i="6"/>
  <c r="F186" i="6" s="1"/>
  <c r="E187" i="6"/>
  <c r="E188" i="6"/>
  <c r="F188" i="6" s="1"/>
  <c r="E189" i="6"/>
  <c r="E190" i="6"/>
  <c r="E191" i="6"/>
  <c r="E192" i="6"/>
  <c r="E193" i="6"/>
  <c r="E194" i="6"/>
  <c r="E195" i="6"/>
  <c r="F195" i="6" s="1"/>
  <c r="E196" i="6"/>
  <c r="F196" i="6" s="1"/>
  <c r="E197" i="6"/>
  <c r="E198" i="6"/>
  <c r="E199" i="6"/>
  <c r="E200" i="6"/>
  <c r="E201" i="6"/>
  <c r="E202" i="6"/>
  <c r="F202" i="6" s="1"/>
  <c r="E203" i="6"/>
  <c r="F203" i="6" s="1"/>
  <c r="E204" i="6"/>
  <c r="F204" i="6" s="1"/>
  <c r="E205" i="6"/>
  <c r="E206" i="6"/>
  <c r="E207" i="6"/>
  <c r="E208" i="6"/>
  <c r="F208" i="6" s="1"/>
  <c r="E209" i="6"/>
  <c r="F209" i="6" s="1"/>
  <c r="E210" i="6"/>
  <c r="F210" i="6" s="1"/>
  <c r="E211" i="6"/>
  <c r="F211" i="6" s="1"/>
  <c r="E212" i="6"/>
  <c r="F212" i="6" s="1"/>
  <c r="E213" i="6"/>
  <c r="E214" i="6"/>
  <c r="E215" i="6"/>
  <c r="F215" i="6" s="1"/>
  <c r="E216" i="6"/>
  <c r="E217" i="6"/>
  <c r="E218" i="6"/>
  <c r="E219" i="6"/>
  <c r="F219" i="6" s="1"/>
  <c r="E220" i="6"/>
  <c r="F220" i="6" s="1"/>
  <c r="E221" i="6"/>
  <c r="E222" i="6"/>
  <c r="E223" i="6"/>
  <c r="E224" i="6"/>
  <c r="E225" i="6"/>
  <c r="F225" i="6" s="1"/>
  <c r="E226" i="6"/>
  <c r="F226" i="6" s="1"/>
  <c r="E227" i="6"/>
  <c r="E228" i="6"/>
  <c r="F228" i="6" s="1"/>
  <c r="E229" i="6"/>
  <c r="E230" i="6"/>
  <c r="E231" i="6"/>
  <c r="E232" i="6"/>
  <c r="F232" i="6" s="1"/>
  <c r="E233" i="6"/>
  <c r="F233" i="6" s="1"/>
  <c r="E234" i="6"/>
  <c r="F234" i="6" s="1"/>
  <c r="E235" i="6"/>
  <c r="F235" i="6" s="1"/>
  <c r="E236" i="6"/>
  <c r="F236" i="6" s="1"/>
  <c r="E237" i="6"/>
  <c r="E238" i="6"/>
  <c r="E239" i="6"/>
  <c r="F239" i="6" s="1"/>
  <c r="E240" i="6"/>
  <c r="E241" i="6"/>
  <c r="E242" i="6"/>
  <c r="E243" i="6"/>
  <c r="F243" i="6" s="1"/>
  <c r="E244" i="6"/>
  <c r="F244" i="6" s="1"/>
  <c r="E245" i="6"/>
  <c r="E246" i="6"/>
  <c r="E247" i="6"/>
  <c r="E248" i="6"/>
  <c r="F248" i="6" s="1"/>
  <c r="E249" i="6"/>
  <c r="F249" i="6" s="1"/>
  <c r="E250" i="6"/>
  <c r="F250" i="6" s="1"/>
  <c r="E251" i="6"/>
  <c r="E252" i="6"/>
  <c r="F252" i="6" s="1"/>
  <c r="E253" i="6"/>
  <c r="E254" i="6"/>
  <c r="E255" i="6"/>
  <c r="E256" i="6"/>
  <c r="E257" i="6"/>
  <c r="E258" i="6"/>
  <c r="E259" i="6"/>
  <c r="F259" i="6" s="1"/>
  <c r="E260" i="6"/>
  <c r="F260" i="6" s="1"/>
  <c r="E261" i="6"/>
  <c r="E262" i="6"/>
  <c r="E263" i="6"/>
  <c r="E264" i="6"/>
  <c r="E265" i="6"/>
  <c r="E266" i="6"/>
  <c r="F266" i="6" s="1"/>
  <c r="E267" i="6"/>
  <c r="F267" i="6" s="1"/>
  <c r="E268" i="6"/>
  <c r="F268" i="6" s="1"/>
  <c r="E269" i="6"/>
  <c r="E270" i="6"/>
  <c r="E271" i="6"/>
  <c r="E272" i="6"/>
  <c r="F272" i="6" s="1"/>
  <c r="E273" i="6"/>
  <c r="F273" i="6" s="1"/>
  <c r="E274" i="6"/>
  <c r="F274" i="6" s="1"/>
  <c r="E275" i="6"/>
  <c r="F275" i="6" s="1"/>
  <c r="E276" i="6"/>
  <c r="F276" i="6" s="1"/>
  <c r="E277" i="6"/>
  <c r="E278" i="6"/>
  <c r="E279" i="6"/>
  <c r="F279" i="6" s="1"/>
  <c r="E280" i="6"/>
  <c r="E281" i="6"/>
  <c r="E282" i="6"/>
  <c r="E283" i="6"/>
  <c r="F283" i="6" s="1"/>
  <c r="E284" i="6"/>
  <c r="F284" i="6" s="1"/>
  <c r="E285" i="6"/>
  <c r="E286" i="6"/>
  <c r="E287" i="6"/>
  <c r="E288" i="6"/>
  <c r="F288" i="6" s="1"/>
  <c r="E289" i="6"/>
  <c r="F289" i="6" s="1"/>
  <c r="E290" i="6"/>
  <c r="F290" i="6" s="1"/>
  <c r="E291" i="6"/>
  <c r="E292" i="6"/>
  <c r="F292" i="6" s="1"/>
  <c r="E293" i="6"/>
  <c r="E294" i="6"/>
  <c r="E295" i="6"/>
  <c r="E296" i="6"/>
  <c r="E297" i="6"/>
  <c r="E298" i="6"/>
  <c r="E299" i="6"/>
  <c r="F299" i="6" s="1"/>
  <c r="E300" i="6"/>
  <c r="F300" i="6" s="1"/>
  <c r="E301" i="6"/>
  <c r="E302" i="6"/>
  <c r="E303" i="6"/>
  <c r="E304" i="6"/>
  <c r="F304" i="6" s="1"/>
  <c r="E305" i="6"/>
  <c r="F305" i="6" s="1"/>
  <c r="E306" i="6"/>
  <c r="F306" i="6" s="1"/>
  <c r="E307" i="6"/>
  <c r="E308" i="6"/>
  <c r="F308" i="6" s="1"/>
  <c r="E309" i="6"/>
  <c r="E310" i="6"/>
  <c r="E311" i="6"/>
  <c r="E312" i="6"/>
  <c r="E4" i="6"/>
  <c r="F4" i="6"/>
  <c r="F8" i="6"/>
  <c r="F9" i="6"/>
  <c r="F24" i="6"/>
  <c r="F25" i="6"/>
  <c r="F26" i="6"/>
  <c r="F32" i="6"/>
  <c r="F48" i="6"/>
  <c r="F49" i="6"/>
  <c r="F50" i="6"/>
  <c r="F64" i="6"/>
  <c r="F65" i="6"/>
  <c r="F66" i="6"/>
  <c r="F72" i="6"/>
  <c r="F73" i="6"/>
  <c r="F88" i="6"/>
  <c r="F89" i="6"/>
  <c r="F90" i="6"/>
  <c r="F96" i="6"/>
  <c r="F112" i="6"/>
  <c r="F113" i="6"/>
  <c r="F114" i="6"/>
  <c r="F128" i="6"/>
  <c r="F129" i="6"/>
  <c r="F130" i="6"/>
  <c r="F136" i="6"/>
  <c r="F137" i="6"/>
  <c r="F152" i="6"/>
  <c r="F153" i="6"/>
  <c r="F154" i="6"/>
  <c r="F160" i="6"/>
  <c r="F176" i="6"/>
  <c r="F177" i="6"/>
  <c r="F178" i="6"/>
  <c r="F192" i="6"/>
  <c r="F193" i="6"/>
  <c r="F194" i="6"/>
  <c r="F200" i="6"/>
  <c r="F201" i="6"/>
  <c r="F216" i="6"/>
  <c r="F217" i="6"/>
  <c r="F218" i="6"/>
  <c r="F224" i="6"/>
  <c r="F240" i="6"/>
  <c r="F241" i="6"/>
  <c r="F242" i="6"/>
  <c r="F256" i="6"/>
  <c r="F257" i="6"/>
  <c r="F258" i="6"/>
  <c r="F264" i="6"/>
  <c r="F265" i="6"/>
  <c r="F280" i="6"/>
  <c r="F281" i="6"/>
  <c r="F282" i="6"/>
  <c r="F287" i="6"/>
  <c r="F295" i="6"/>
  <c r="F296" i="6"/>
  <c r="F297" i="6"/>
  <c r="F298" i="6"/>
  <c r="F303" i="6"/>
  <c r="F311" i="6"/>
  <c r="F312" i="6"/>
  <c r="F5" i="6"/>
  <c r="F6" i="6"/>
  <c r="F7" i="6"/>
  <c r="F13" i="6"/>
  <c r="F14" i="6"/>
  <c r="F15" i="6"/>
  <c r="F21" i="6"/>
  <c r="F22" i="6"/>
  <c r="F29" i="6"/>
  <c r="F30" i="6"/>
  <c r="F31" i="6"/>
  <c r="F35" i="6"/>
  <c r="F37" i="6"/>
  <c r="F38" i="6"/>
  <c r="F39" i="6"/>
  <c r="F45" i="6"/>
  <c r="F46" i="6"/>
  <c r="F53" i="6"/>
  <c r="F54" i="6"/>
  <c r="F55" i="6"/>
  <c r="F59" i="6"/>
  <c r="F61" i="6"/>
  <c r="F62" i="6"/>
  <c r="F63" i="6"/>
  <c r="F69" i="6"/>
  <c r="F70" i="6"/>
  <c r="F71" i="6"/>
  <c r="F77" i="6"/>
  <c r="F78" i="6"/>
  <c r="F79" i="6"/>
  <c r="F85" i="6"/>
  <c r="F86" i="6"/>
  <c r="F93" i="6"/>
  <c r="F94" i="6"/>
  <c r="F95" i="6"/>
  <c r="F99" i="6"/>
  <c r="F101" i="6"/>
  <c r="F102" i="6"/>
  <c r="F103" i="6"/>
  <c r="F109" i="6"/>
  <c r="F110" i="6"/>
  <c r="F117" i="6"/>
  <c r="F118" i="6"/>
  <c r="F119" i="6"/>
  <c r="F123" i="6"/>
  <c r="F125" i="6"/>
  <c r="F126" i="6"/>
  <c r="F127" i="6"/>
  <c r="F133" i="6"/>
  <c r="F134" i="6"/>
  <c r="F135" i="6"/>
  <c r="F141" i="6"/>
  <c r="F142" i="6"/>
  <c r="F143" i="6"/>
  <c r="F149" i="6"/>
  <c r="F150" i="6"/>
  <c r="F157" i="6"/>
  <c r="F158" i="6"/>
  <c r="F159" i="6"/>
  <c r="F163" i="6"/>
  <c r="F165" i="6"/>
  <c r="F166" i="6"/>
  <c r="F167" i="6"/>
  <c r="F173" i="6"/>
  <c r="F174" i="6"/>
  <c r="F181" i="6"/>
  <c r="F182" i="6"/>
  <c r="F183" i="6"/>
  <c r="F187" i="6"/>
  <c r="F189" i="6"/>
  <c r="F190" i="6"/>
  <c r="F191" i="6"/>
  <c r="F197" i="6"/>
  <c r="F198" i="6"/>
  <c r="F199" i="6"/>
  <c r="F205" i="6"/>
  <c r="F206" i="6"/>
  <c r="F207" i="6"/>
  <c r="F213" i="6"/>
  <c r="F214" i="6"/>
  <c r="F221" i="6"/>
  <c r="F222" i="6"/>
  <c r="F223" i="6"/>
  <c r="F227" i="6"/>
  <c r="F229" i="6"/>
  <c r="F230" i="6"/>
  <c r="F231" i="6"/>
  <c r="F237" i="6"/>
  <c r="F238" i="6"/>
  <c r="F245" i="6"/>
  <c r="F246" i="6"/>
  <c r="F247" i="6"/>
  <c r="F251" i="6"/>
  <c r="F253" i="6"/>
  <c r="F254" i="6"/>
  <c r="F255" i="6"/>
  <c r="F261" i="6"/>
  <c r="F262" i="6"/>
  <c r="F263" i="6"/>
  <c r="F269" i="6"/>
  <c r="F270" i="6"/>
  <c r="F271" i="6"/>
  <c r="F277" i="6"/>
  <c r="F278" i="6"/>
  <c r="F285" i="6"/>
  <c r="F286" i="6"/>
  <c r="F291" i="6"/>
  <c r="F293" i="6"/>
  <c r="F294" i="6"/>
  <c r="F301" i="6"/>
  <c r="F302" i="6"/>
  <c r="F307" i="6"/>
  <c r="F309" i="6"/>
  <c r="F310" i="6"/>
  <c r="I5" i="7" a="1"/>
  <c r="I37" i="7" a="1"/>
  <c r="I69" i="7" a="1"/>
  <c r="I101" i="7" a="1"/>
  <c r="I133" i="7" a="1"/>
  <c r="I26" i="7" a="1"/>
  <c r="I19" i="7" a="1"/>
  <c r="I83" i="7" a="1"/>
  <c r="I126" i="7" a="1"/>
  <c r="I183" i="7" a="1"/>
  <c r="I247" i="7" a="1"/>
  <c r="I311" i="7" a="1"/>
  <c r="I122" i="7" a="1"/>
  <c r="I230" i="7" a="1"/>
  <c r="I148" i="7" a="1"/>
  <c r="I156" i="7" a="1"/>
  <c r="I220" i="7" a="1"/>
  <c r="I284" i="7" a="1"/>
  <c r="I84" i="7" a="1"/>
  <c r="I193" i="7" a="1"/>
  <c r="I8" i="7" a="1"/>
  <c r="I70" i="7" a="1"/>
  <c r="I153" i="7" a="1"/>
  <c r="I287" i="7" a="1"/>
  <c r="I181" i="7" a="1"/>
  <c r="I135" i="7" a="1"/>
  <c r="I24" i="7" a="1"/>
  <c r="I64" i="7" a="1"/>
  <c r="I283" i="7" a="1"/>
  <c r="I55" i="7" a="1"/>
  <c r="I235" i="7" a="1"/>
  <c r="I258" i="7" a="1"/>
  <c r="I82" i="7" a="1"/>
  <c r="I282" i="7" a="1"/>
  <c r="I75" i="7" a="1"/>
  <c r="I240" i="7" a="1"/>
  <c r="I285" i="7" a="1"/>
  <c r="I227" i="7" a="1"/>
  <c r="I221" i="7" a="1"/>
  <c r="I118" i="7" a="1"/>
  <c r="I278" i="7" a="1"/>
  <c r="I98" i="7" a="1"/>
  <c r="I117" i="7" a="1"/>
  <c r="I62" i="7" a="1"/>
  <c r="I79" i="7" a="1"/>
  <c r="I188" i="7" a="1"/>
  <c r="I257" i="7" a="1"/>
  <c r="I23" i="7" a="1"/>
  <c r="I158" i="7" a="1"/>
  <c r="I191" i="7" a="1"/>
  <c r="I9" i="7" a="1"/>
  <c r="I41" i="7" a="1"/>
  <c r="I73" i="7" a="1"/>
  <c r="I105" i="7" a="1"/>
  <c r="I137" i="7" a="1"/>
  <c r="I30" i="7" a="1"/>
  <c r="I44" i="7" a="1"/>
  <c r="I88" i="7" a="1"/>
  <c r="I131" i="7" a="1"/>
  <c r="I192" i="7" a="1"/>
  <c r="I256" i="7" a="1"/>
  <c r="I20" i="7" a="1"/>
  <c r="I132" i="7" a="1"/>
  <c r="I248" i="7" a="1"/>
  <c r="I162" i="7" a="1"/>
  <c r="I165" i="7" a="1"/>
  <c r="I229" i="7" a="1"/>
  <c r="I293" i="7" a="1"/>
  <c r="I95" i="7" a="1"/>
  <c r="I207" i="7" a="1"/>
  <c r="I47" i="7" a="1"/>
  <c r="I80" i="7" a="1"/>
  <c r="I190" i="7" a="1"/>
  <c r="I295" i="7" a="1"/>
  <c r="I251" i="7" a="1"/>
  <c r="I182" i="7" a="1"/>
  <c r="I155" i="7" a="1"/>
  <c r="I86" i="7" a="1"/>
  <c r="I299" i="7" a="1"/>
  <c r="I66" i="7" a="1"/>
  <c r="I249" i="7" a="1"/>
  <c r="I163" i="7" a="1"/>
  <c r="I103" i="7" a="1"/>
  <c r="I296" i="7" a="1"/>
  <c r="I96" i="7" a="1"/>
  <c r="I291" i="7" a="1"/>
  <c r="I43" i="7" a="1"/>
  <c r="I241" i="7" a="1"/>
  <c r="I250" i="7" a="1"/>
  <c r="I146" i="7" a="1"/>
  <c r="I76" i="7" a="1"/>
  <c r="I149" i="7" a="1"/>
  <c r="I85" i="7" a="1"/>
  <c r="I104" i="7" a="1"/>
  <c r="I279" i="7" a="1"/>
  <c r="I7" i="7" a="1"/>
  <c r="I127" i="7" a="1"/>
  <c r="I222" i="7" a="1"/>
  <c r="I254" i="7" a="1"/>
  <c r="I217" i="7" a="1"/>
  <c r="I13" i="7" a="1"/>
  <c r="I45" i="7" a="1"/>
  <c r="I77" i="7" a="1"/>
  <c r="I109" i="7" a="1"/>
  <c r="I141" i="7" a="1"/>
  <c r="I34" i="7" a="1"/>
  <c r="I51" i="7" a="1"/>
  <c r="I94" i="7" a="1"/>
  <c r="I136" i="7" a="1"/>
  <c r="I201" i="7" a="1"/>
  <c r="I265" i="7" a="1"/>
  <c r="I58" i="7" a="1"/>
  <c r="I143" i="7" a="1"/>
  <c r="I262" i="7" a="1"/>
  <c r="I180" i="7" a="1"/>
  <c r="I170" i="7" a="1"/>
  <c r="I234" i="7" a="1"/>
  <c r="I298" i="7" a="1"/>
  <c r="I106" i="7" a="1"/>
  <c r="I225" i="7" a="1"/>
  <c r="I157" i="7" a="1"/>
  <c r="I91" i="7" a="1"/>
  <c r="I199" i="7" a="1"/>
  <c r="I301" i="7" a="1"/>
  <c r="I267" i="7" a="1"/>
  <c r="I200" i="7" a="1"/>
  <c r="I173" i="7" a="1"/>
  <c r="I107" i="7" a="1"/>
  <c r="I16" i="7" a="1"/>
  <c r="I87" i="7" a="1"/>
  <c r="I286" i="7" a="1"/>
  <c r="I208" i="7" a="1"/>
  <c r="I124" i="7" a="1"/>
  <c r="I305" i="7" a="1"/>
  <c r="I264" i="7" a="1"/>
  <c r="I272" i="7" a="1"/>
  <c r="I42" i="7" a="1"/>
  <c r="I215" i="7" a="1"/>
  <c r="I294" i="7" a="1"/>
  <c r="I27" i="7" a="1"/>
  <c r="I112" i="7" a="1"/>
  <c r="I245" i="7" a="1"/>
  <c r="I140" i="7" a="1"/>
  <c r="I119" i="7" a="1"/>
  <c r="I17" i="7" a="1"/>
  <c r="I49" i="7" a="1"/>
  <c r="I81" i="7" a="1"/>
  <c r="I113" i="7" a="1"/>
  <c r="I6" i="7" a="1"/>
  <c r="I38" i="7" a="1"/>
  <c r="I56" i="7" a="1"/>
  <c r="I99" i="7" a="1"/>
  <c r="I142" i="7" a="1"/>
  <c r="I206" i="7" a="1"/>
  <c r="I270" i="7" a="1"/>
  <c r="I68" i="7" a="1"/>
  <c r="I152" i="7" a="1"/>
  <c r="I280" i="7" a="1"/>
  <c r="I194" i="7" a="1"/>
  <c r="I179" i="7" a="1"/>
  <c r="I243" i="7" a="1"/>
  <c r="I307" i="7" a="1"/>
  <c r="I116" i="7" a="1"/>
  <c r="I239" i="7" a="1"/>
  <c r="I171" i="7" a="1"/>
  <c r="I102" i="7" a="1"/>
  <c r="I214" i="7" a="1"/>
  <c r="I309" i="7" a="1"/>
  <c r="I281" i="7" a="1"/>
  <c r="I231" i="7" a="1"/>
  <c r="I209" i="7" a="1"/>
  <c r="I128" i="7" a="1"/>
  <c r="I186" i="7" a="1"/>
  <c r="I108" i="7" a="1"/>
  <c r="I300" i="7" a="1"/>
  <c r="I259" i="7" a="1"/>
  <c r="I145" i="7" a="1"/>
  <c r="I164" i="7" a="1"/>
  <c r="I139" i="7" a="1"/>
  <c r="I292" i="7" a="1"/>
  <c r="I10" i="7" a="1"/>
  <c r="I151" i="7" a="1"/>
  <c r="I166" i="7" a="1"/>
  <c r="I252" i="7" a="1"/>
  <c r="I189" i="7" a="1"/>
  <c r="I11" i="7" a="1"/>
  <c r="I204" i="7" a="1"/>
  <c r="I195" i="7" a="1"/>
  <c r="I21" i="7" a="1"/>
  <c r="I53" i="7" a="1"/>
  <c r="I25" i="7" a="1"/>
  <c r="I57" i="7" a="1"/>
  <c r="I89" i="7" a="1"/>
  <c r="I121" i="7" a="1"/>
  <c r="I14" i="7" a="1"/>
  <c r="I46" i="7" a="1"/>
  <c r="I67" i="7" a="1"/>
  <c r="I110" i="7" a="1"/>
  <c r="I160" i="7" a="1"/>
  <c r="I224" i="7" a="1"/>
  <c r="I288" i="7" a="1"/>
  <c r="I90" i="7" a="1"/>
  <c r="I184" i="7" a="1"/>
  <c r="I303" i="7" a="1"/>
  <c r="I32" i="7" a="1"/>
  <c r="I197" i="7" a="1"/>
  <c r="I261" i="7" a="1"/>
  <c r="I52" i="7" a="1"/>
  <c r="I138" i="7" a="1"/>
  <c r="I271" i="7" a="1"/>
  <c r="I203" i="7" a="1"/>
  <c r="I123" i="7" a="1"/>
  <c r="I228" i="7" a="1"/>
  <c r="I48" i="7" a="1"/>
  <c r="I71" i="7" a="1"/>
  <c r="I274" i="7" a="1"/>
  <c r="I260" i="7" a="1"/>
  <c r="I176" i="7" a="1"/>
  <c r="I263" i="7" a="1"/>
  <c r="I150" i="7" a="1"/>
  <c r="I196" i="7" a="1"/>
  <c r="I310" i="7" a="1"/>
  <c r="I223" i="7" a="1"/>
  <c r="I246" i="7" a="1"/>
  <c r="I185" i="7" a="1"/>
  <c r="I212" i="7" a="1"/>
  <c r="I130" i="7" a="1"/>
  <c r="I31" i="7" a="1"/>
  <c r="I237" i="7" a="1"/>
  <c r="I218" i="7" a="1"/>
  <c r="I159" i="7" a="1"/>
  <c r="I65" i="7" a="1"/>
  <c r="I12" i="7" a="1"/>
  <c r="I174" i="7" a="1"/>
  <c r="I111" i="7" a="1"/>
  <c r="I40" i="7" a="1"/>
  <c r="I275" i="7" a="1"/>
  <c r="I312" i="7" a="1"/>
  <c r="I244" i="7" a="1"/>
  <c r="I304" i="7" a="1"/>
  <c r="I306" i="7" a="1"/>
  <c r="I60" i="7" a="1"/>
  <c r="I253" i="7" a="1"/>
  <c r="I269" i="7" a="1"/>
  <c r="I178" i="7" a="1"/>
  <c r="I308" i="7" a="1"/>
  <c r="I29" i="7" a="1"/>
  <c r="I61" i="7" a="1"/>
  <c r="I93" i="7" a="1"/>
  <c r="I125" i="7" a="1"/>
  <c r="I18" i="7" a="1"/>
  <c r="I50" i="7" a="1"/>
  <c r="I72" i="7" a="1"/>
  <c r="I115" i="7" a="1"/>
  <c r="I169" i="7" a="1"/>
  <c r="I233" i="7" a="1"/>
  <c r="I297" i="7" a="1"/>
  <c r="I100" i="7" a="1"/>
  <c r="I198" i="7" a="1"/>
  <c r="I15" i="7" a="1"/>
  <c r="I39" i="7" a="1"/>
  <c r="I202" i="7" a="1"/>
  <c r="I266" i="7" a="1"/>
  <c r="I63" i="7" a="1"/>
  <c r="I161" i="7" a="1"/>
  <c r="I289" i="7" a="1"/>
  <c r="I35" i="7" a="1"/>
  <c r="I134" i="7" a="1"/>
  <c r="I236" i="7" a="1"/>
  <c r="I154" i="7" a="1"/>
  <c r="I92" i="7" a="1"/>
  <c r="I290" i="7" a="1"/>
  <c r="I276" i="7" a="1"/>
  <c r="I210" i="7" a="1"/>
  <c r="I277" i="7" a="1"/>
  <c r="I168" i="7" a="1"/>
  <c r="I213" i="7" a="1"/>
  <c r="I36" i="7" a="1"/>
  <c r="I268" i="7" a="1"/>
  <c r="I255" i="7" a="1"/>
  <c r="I187" i="7" a="1"/>
  <c r="I97" i="7" a="1"/>
  <c r="I22" i="7" a="1"/>
  <c r="I120" i="7" a="1"/>
  <c r="I238" i="7" a="1"/>
  <c r="I216" i="7" a="1"/>
  <c r="I211" i="7" a="1"/>
  <c r="I175" i="7" a="1"/>
  <c r="I144" i="7" a="1"/>
  <c r="I114" i="7" a="1"/>
  <c r="I232" i="7" a="1"/>
  <c r="I242" i="7" a="1"/>
  <c r="I54" i="7" a="1"/>
  <c r="I177" i="7" a="1"/>
  <c r="I273" i="7" a="1"/>
  <c r="I4" i="7" a="1"/>
  <c r="I33" i="7" a="1"/>
  <c r="I129" i="7" a="1"/>
  <c r="I78" i="7" a="1"/>
  <c r="I302" i="7" a="1"/>
  <c r="I147" i="7" a="1"/>
  <c r="I74" i="7" a="1"/>
  <c r="I59" i="7" a="1"/>
  <c r="I172" i="7" a="1"/>
  <c r="I28" i="7" a="1"/>
  <c r="I219" i="7" a="1"/>
  <c r="I226" i="7" a="1"/>
  <c r="I205" i="7" a="1"/>
  <c r="I167" i="7" a="1"/>
  <c r="I272" i="7" l="1"/>
  <c r="I264" i="7"/>
  <c r="I250" i="7"/>
  <c r="I221" i="7"/>
  <c r="I205" i="7"/>
  <c r="I187" i="7"/>
  <c r="I31" i="7"/>
  <c r="I308" i="7"/>
  <c r="I292" i="7"/>
  <c r="I278" i="7"/>
  <c r="I241" i="7"/>
  <c r="I227" i="7"/>
  <c r="I177" i="7"/>
  <c r="I159" i="7"/>
  <c r="I130" i="7"/>
  <c r="I119" i="7"/>
  <c r="I98" i="7"/>
  <c r="I76" i="7"/>
  <c r="I43" i="7"/>
  <c r="I285" i="7"/>
  <c r="I269" i="7"/>
  <c r="I255" i="7"/>
  <c r="I212" i="7"/>
  <c r="I195" i="7"/>
  <c r="I149" i="7"/>
  <c r="I305" i="7"/>
  <c r="I291" i="7"/>
  <c r="I240" i="7"/>
  <c r="I226" i="7"/>
  <c r="I218" i="7"/>
  <c r="I185" i="7"/>
  <c r="I167" i="7"/>
  <c r="I139" i="7"/>
  <c r="I118" i="7"/>
  <c r="I96" i="7"/>
  <c r="I75" i="7"/>
  <c r="I54" i="7"/>
  <c r="I268" i="7"/>
  <c r="I246" i="7"/>
  <c r="I217" i="7"/>
  <c r="I164" i="7"/>
  <c r="I146" i="7"/>
  <c r="I296" i="7"/>
  <c r="I282" i="7"/>
  <c r="I253" i="7"/>
  <c r="I237" i="7"/>
  <c r="I223" i="7"/>
  <c r="I191" i="7"/>
  <c r="I145" i="7"/>
  <c r="I124" i="7"/>
  <c r="I103" i="7"/>
  <c r="I82" i="7"/>
  <c r="I60" i="7"/>
  <c r="I36" i="7"/>
  <c r="I310" i="7"/>
  <c r="I273" i="7"/>
  <c r="I259" i="7"/>
  <c r="I208" i="7"/>
  <c r="I163" i="7"/>
  <c r="I258" i="7"/>
  <c r="I242" i="7"/>
  <c r="I213" i="7"/>
  <c r="I196" i="7"/>
  <c r="I178" i="7"/>
  <c r="I300" i="7"/>
  <c r="I286" i="7"/>
  <c r="I249" i="7"/>
  <c r="I235" i="7"/>
  <c r="I219" i="7"/>
  <c r="I168" i="7"/>
  <c r="I150" i="7"/>
  <c r="I140" i="7"/>
  <c r="I108" i="7"/>
  <c r="I87" i="7"/>
  <c r="I66" i="7"/>
  <c r="I55" i="7"/>
  <c r="I306" i="7"/>
  <c r="I277" i="7"/>
  <c r="I263" i="7"/>
  <c r="I204" i="7"/>
  <c r="I186" i="7"/>
  <c r="I16" i="7"/>
  <c r="I299" i="7"/>
  <c r="I283" i="7"/>
  <c r="I232" i="7"/>
  <c r="I210" i="7"/>
  <c r="I176" i="7"/>
  <c r="I158" i="7"/>
  <c r="I128" i="7"/>
  <c r="I107" i="7"/>
  <c r="I86" i="7"/>
  <c r="I64" i="7"/>
  <c r="I28" i="7"/>
  <c r="I276" i="7"/>
  <c r="I260" i="7"/>
  <c r="I254" i="7"/>
  <c r="I209" i="7"/>
  <c r="I173" i="7"/>
  <c r="I155" i="7"/>
  <c r="I24" i="7"/>
  <c r="I304" i="7"/>
  <c r="I290" i="7"/>
  <c r="I274" i="7"/>
  <c r="I245" i="7"/>
  <c r="I231" i="7"/>
  <c r="I200" i="7"/>
  <c r="I182" i="7"/>
  <c r="I135" i="7"/>
  <c r="I114" i="7"/>
  <c r="I92" i="7"/>
  <c r="I71" i="7"/>
  <c r="I11" i="7"/>
  <c r="I281" i="7"/>
  <c r="I267" i="7"/>
  <c r="I251" i="7"/>
  <c r="I181" i="7"/>
  <c r="I172" i="7"/>
  <c r="I154" i="7"/>
  <c r="I48" i="7"/>
  <c r="I23" i="7"/>
  <c r="I309" i="7"/>
  <c r="I301" i="7"/>
  <c r="I295" i="7"/>
  <c r="I287" i="7"/>
  <c r="I244" i="7"/>
  <c r="I236" i="7"/>
  <c r="I228" i="7"/>
  <c r="I222" i="7"/>
  <c r="I214" i="7"/>
  <c r="I199" i="7"/>
  <c r="I190" i="7"/>
  <c r="I153" i="7"/>
  <c r="I144" i="7"/>
  <c r="I134" i="7"/>
  <c r="I123" i="7"/>
  <c r="I112" i="7"/>
  <c r="I102" i="7"/>
  <c r="I91" i="7"/>
  <c r="I80" i="7"/>
  <c r="I70" i="7"/>
  <c r="I59" i="7"/>
  <c r="I35" i="7"/>
  <c r="I203" i="7"/>
  <c r="I189" i="7"/>
  <c r="I171" i="7"/>
  <c r="I157" i="7"/>
  <c r="I47" i="7"/>
  <c r="I8" i="7"/>
  <c r="I312" i="7"/>
  <c r="I289" i="7"/>
  <c r="I271" i="7"/>
  <c r="I257" i="7"/>
  <c r="I239" i="7"/>
  <c r="I225" i="7"/>
  <c r="I207" i="7"/>
  <c r="I193" i="7"/>
  <c r="I175" i="7"/>
  <c r="I161" i="7"/>
  <c r="I138" i="7"/>
  <c r="I127" i="7"/>
  <c r="I116" i="7"/>
  <c r="I106" i="7"/>
  <c r="I95" i="7"/>
  <c r="I84" i="7"/>
  <c r="I74" i="7"/>
  <c r="I63" i="7"/>
  <c r="I52" i="7"/>
  <c r="I27" i="7"/>
  <c r="I307" i="7"/>
  <c r="I298" i="7"/>
  <c r="I293" i="7"/>
  <c r="I284" i="7"/>
  <c r="I275" i="7"/>
  <c r="I266" i="7"/>
  <c r="I261" i="7"/>
  <c r="I252" i="7"/>
  <c r="I243" i="7"/>
  <c r="I234" i="7"/>
  <c r="I229" i="7"/>
  <c r="I220" i="7"/>
  <c r="I211" i="7"/>
  <c r="I202" i="7"/>
  <c r="I197" i="7"/>
  <c r="I188" i="7"/>
  <c r="I179" i="7"/>
  <c r="I170" i="7"/>
  <c r="I165" i="7"/>
  <c r="I156" i="7"/>
  <c r="I147" i="7"/>
  <c r="I39" i="7"/>
  <c r="I32" i="7"/>
  <c r="I7" i="7"/>
  <c r="I194" i="7"/>
  <c r="I180" i="7"/>
  <c r="I162" i="7"/>
  <c r="I148" i="7"/>
  <c r="I40" i="7"/>
  <c r="I15" i="7"/>
  <c r="I303" i="7"/>
  <c r="I294" i="7"/>
  <c r="I280" i="7"/>
  <c r="I262" i="7"/>
  <c r="I248" i="7"/>
  <c r="I230" i="7"/>
  <c r="I216" i="7"/>
  <c r="I198" i="7"/>
  <c r="I184" i="7"/>
  <c r="I166" i="7"/>
  <c r="I152" i="7"/>
  <c r="I143" i="7"/>
  <c r="I132" i="7"/>
  <c r="I122" i="7"/>
  <c r="I111" i="7"/>
  <c r="I100" i="7"/>
  <c r="I90" i="7"/>
  <c r="I79" i="7"/>
  <c r="I68" i="7"/>
  <c r="I58" i="7"/>
  <c r="I20" i="7"/>
  <c r="I311" i="7"/>
  <c r="I302" i="7"/>
  <c r="I297" i="7"/>
  <c r="I288" i="7"/>
  <c r="I279" i="7"/>
  <c r="I270" i="7"/>
  <c r="I265" i="7"/>
  <c r="I256" i="7"/>
  <c r="I247" i="7"/>
  <c r="I238" i="7"/>
  <c r="I233" i="7"/>
  <c r="I224" i="7"/>
  <c r="I215" i="7"/>
  <c r="I206" i="7"/>
  <c r="I201" i="7"/>
  <c r="I192" i="7"/>
  <c r="I183" i="7"/>
  <c r="I174" i="7"/>
  <c r="I169" i="7"/>
  <c r="I160" i="7"/>
  <c r="I151" i="7"/>
  <c r="I142" i="7"/>
  <c r="I136" i="7"/>
  <c r="I131" i="7"/>
  <c r="I126" i="7"/>
  <c r="I120" i="7"/>
  <c r="I115" i="7"/>
  <c r="I110" i="7"/>
  <c r="I104" i="7"/>
  <c r="I99" i="7"/>
  <c r="I94" i="7"/>
  <c r="I88" i="7"/>
  <c r="I83" i="7"/>
  <c r="I78" i="7"/>
  <c r="I72" i="7"/>
  <c r="I67" i="7"/>
  <c r="I62" i="7"/>
  <c r="I56" i="7"/>
  <c r="I51" i="7"/>
  <c r="I44" i="7"/>
  <c r="I19" i="7"/>
  <c r="I12" i="7"/>
  <c r="I50" i="7"/>
  <c r="I46" i="7"/>
  <c r="I42" i="7"/>
  <c r="I38" i="7"/>
  <c r="I34" i="7"/>
  <c r="I30" i="7"/>
  <c r="I26" i="7"/>
  <c r="I22" i="7"/>
  <c r="I18" i="7"/>
  <c r="I14" i="7"/>
  <c r="I10" i="7"/>
  <c r="I6" i="7"/>
  <c r="I141" i="7"/>
  <c r="I137" i="7"/>
  <c r="I133" i="7"/>
  <c r="I129" i="7"/>
  <c r="I125" i="7"/>
  <c r="I121" i="7"/>
  <c r="I117" i="7"/>
  <c r="I113" i="7"/>
  <c r="I109" i="7"/>
  <c r="I105" i="7"/>
  <c r="I101" i="7"/>
  <c r="I97" i="7"/>
  <c r="I93" i="7"/>
  <c r="I89" i="7"/>
  <c r="I85" i="7"/>
  <c r="I81" i="7"/>
  <c r="I77" i="7"/>
  <c r="I73" i="7"/>
  <c r="I69" i="7"/>
  <c r="I65" i="7"/>
  <c r="I61" i="7"/>
  <c r="I57" i="7"/>
  <c r="I53" i="7"/>
  <c r="I49" i="7"/>
  <c r="I45" i="7"/>
  <c r="I41" i="7"/>
  <c r="I37" i="7"/>
  <c r="I33" i="7"/>
  <c r="I29" i="7"/>
  <c r="I25" i="7"/>
  <c r="I21" i="7"/>
  <c r="I17" i="7"/>
  <c r="I13" i="7"/>
  <c r="I9" i="7"/>
  <c r="I5" i="7"/>
  <c r="I4" i="7"/>
  <c r="L3" i="5" a="1"/>
  <c r="L3" i="5" s="1"/>
  <c r="K4" i="5"/>
  <c r="K5" i="5"/>
  <c r="K6" i="5"/>
  <c r="K7" i="5"/>
  <c r="K8" i="5"/>
  <c r="K9" i="5"/>
  <c r="K10" i="5"/>
  <c r="K11" i="5"/>
  <c r="K12" i="5"/>
  <c r="K13" i="5"/>
  <c r="K14" i="5"/>
  <c r="K3" i="5"/>
  <c r="P23" i="5"/>
  <c r="P24" i="5"/>
  <c r="P25" i="5"/>
  <c r="P26" i="5"/>
  <c r="P27" i="5"/>
  <c r="P28" i="5"/>
  <c r="P29" i="5"/>
  <c r="P30" i="5"/>
  <c r="P31" i="5"/>
  <c r="P32" i="5"/>
  <c r="P33" i="5"/>
  <c r="P22" i="5"/>
  <c r="H33" i="5"/>
  <c r="G33" i="5"/>
  <c r="B33" i="5"/>
  <c r="M32" i="5"/>
  <c r="L32" i="5"/>
  <c r="E32" i="5"/>
  <c r="D32" i="5"/>
  <c r="J31" i="5"/>
  <c r="I31" i="5"/>
  <c r="B31" i="5"/>
  <c r="N30" i="5"/>
  <c r="G30" i="5"/>
  <c r="F30" i="5"/>
  <c r="L29" i="5"/>
  <c r="K29" i="5"/>
  <c r="D29" i="5"/>
  <c r="I28" i="5"/>
  <c r="H28" i="5"/>
  <c r="N27" i="5"/>
  <c r="M27" i="5"/>
  <c r="F27" i="5"/>
  <c r="E27" i="5"/>
  <c r="K26" i="5"/>
  <c r="J26" i="5"/>
  <c r="B26" i="5"/>
  <c r="H25" i="5"/>
  <c r="G25" i="5"/>
  <c r="B25" i="5"/>
  <c r="M24" i="5"/>
  <c r="L24" i="5"/>
  <c r="E24" i="5"/>
  <c r="D24" i="5"/>
  <c r="J23" i="5"/>
  <c r="I23" i="5"/>
  <c r="B23" i="5"/>
  <c r="N22" i="5"/>
  <c r="G22" i="5"/>
  <c r="F22" i="5"/>
  <c r="C21" i="5" a="1"/>
  <c r="N33" i="5" s="1"/>
  <c r="C14" i="5"/>
  <c r="C13" i="5"/>
  <c r="B32" i="5" s="1"/>
  <c r="C12" i="5"/>
  <c r="C11" i="5"/>
  <c r="B30" i="5" s="1"/>
  <c r="C10" i="5"/>
  <c r="B29" i="5" s="1"/>
  <c r="C9" i="5"/>
  <c r="B28" i="5" s="1"/>
  <c r="C8" i="5"/>
  <c r="B27" i="5" s="1"/>
  <c r="C7" i="5"/>
  <c r="C6" i="5"/>
  <c r="C5" i="5"/>
  <c r="B24" i="5" s="1"/>
  <c r="C4" i="5"/>
  <c r="C3" i="5"/>
  <c r="B22" i="5" s="1"/>
  <c r="U15" i="4"/>
  <c r="U16" i="4"/>
  <c r="U17" i="4"/>
  <c r="T15" i="4"/>
  <c r="T16" i="4"/>
  <c r="T17" i="4"/>
  <c r="S15" i="4"/>
  <c r="S16" i="4"/>
  <c r="S17" i="4"/>
  <c r="R15" i="4"/>
  <c r="R16" i="4"/>
  <c r="R17" i="4"/>
  <c r="Q15" i="4"/>
  <c r="Q16" i="4"/>
  <c r="Q17" i="4"/>
  <c r="P15" i="4"/>
  <c r="P16" i="4"/>
  <c r="P17" i="4"/>
  <c r="O15" i="4"/>
  <c r="O16" i="4"/>
  <c r="O17" i="4"/>
  <c r="N15" i="4"/>
  <c r="N16" i="4"/>
  <c r="N17" i="4"/>
  <c r="M15" i="4"/>
  <c r="M16" i="4"/>
  <c r="M17" i="4"/>
  <c r="L15" i="4"/>
  <c r="L16" i="4"/>
  <c r="L17" i="4"/>
  <c r="K15" i="4"/>
  <c r="K16" i="4"/>
  <c r="K17" i="4"/>
  <c r="J15" i="4"/>
  <c r="J16" i="4"/>
  <c r="E16" i="4" s="1"/>
  <c r="J17" i="4"/>
  <c r="J14" i="4"/>
  <c r="I15" i="4"/>
  <c r="E15" i="4" s="1"/>
  <c r="I16" i="4"/>
  <c r="I17" i="4"/>
  <c r="E17" i="4" s="1"/>
  <c r="H17" i="4"/>
  <c r="H8" i="4"/>
  <c r="H9" i="4"/>
  <c r="H10" i="4"/>
  <c r="H3" i="4"/>
  <c r="I4" i="4"/>
  <c r="E4" i="4" s="1"/>
  <c r="I5" i="4"/>
  <c r="E5" i="4" s="1"/>
  <c r="I6" i="4"/>
  <c r="E6" i="4" s="1"/>
  <c r="I7" i="4"/>
  <c r="E7" i="4" s="1"/>
  <c r="I8" i="4"/>
  <c r="E8" i="4" s="1"/>
  <c r="I9" i="4"/>
  <c r="I10" i="4"/>
  <c r="I11" i="4"/>
  <c r="I12" i="4"/>
  <c r="E12" i="4" s="1"/>
  <c r="I13" i="4"/>
  <c r="E13" i="4" s="1"/>
  <c r="I14" i="4"/>
  <c r="E14" i="4" s="1"/>
  <c r="I3" i="4"/>
  <c r="S4" i="4"/>
  <c r="S5" i="4"/>
  <c r="S6" i="4"/>
  <c r="S7" i="4"/>
  <c r="S8" i="4"/>
  <c r="S9" i="4"/>
  <c r="S10" i="4"/>
  <c r="S11" i="4"/>
  <c r="S12" i="4"/>
  <c r="S13" i="4"/>
  <c r="S14" i="4"/>
  <c r="L23" i="3"/>
  <c r="L24" i="3"/>
  <c r="L25" i="3"/>
  <c r="L26" i="3"/>
  <c r="L27" i="3"/>
  <c r="L28" i="3"/>
  <c r="L29" i="3"/>
  <c r="L30" i="3"/>
  <c r="L31" i="3"/>
  <c r="L32" i="3"/>
  <c r="L33" i="3"/>
  <c r="U14" i="4"/>
  <c r="T14" i="4"/>
  <c r="R14" i="4"/>
  <c r="Q14" i="4"/>
  <c r="P14" i="4"/>
  <c r="O14" i="4"/>
  <c r="N14" i="4"/>
  <c r="M14" i="4"/>
  <c r="L14" i="4"/>
  <c r="K14" i="4"/>
  <c r="U13" i="4"/>
  <c r="T13" i="4"/>
  <c r="R13" i="4"/>
  <c r="Q13" i="4"/>
  <c r="P13" i="4"/>
  <c r="O13" i="4"/>
  <c r="N13" i="4"/>
  <c r="M13" i="4"/>
  <c r="L13" i="4"/>
  <c r="K13" i="4"/>
  <c r="J13" i="4"/>
  <c r="U12" i="4"/>
  <c r="T12" i="4"/>
  <c r="R12" i="4"/>
  <c r="Q12" i="4"/>
  <c r="P12" i="4"/>
  <c r="O12" i="4"/>
  <c r="N12" i="4"/>
  <c r="M12" i="4"/>
  <c r="L12" i="4"/>
  <c r="K12" i="4"/>
  <c r="J12" i="4"/>
  <c r="U11" i="4"/>
  <c r="T11" i="4"/>
  <c r="R11" i="4"/>
  <c r="Q11" i="4"/>
  <c r="P11" i="4"/>
  <c r="O11" i="4"/>
  <c r="N11" i="4"/>
  <c r="M11" i="4"/>
  <c r="E11" i="4" s="1"/>
  <c r="L11" i="4"/>
  <c r="K11" i="4"/>
  <c r="J11" i="4"/>
  <c r="U10" i="4"/>
  <c r="T10" i="4"/>
  <c r="R10" i="4"/>
  <c r="Q10" i="4"/>
  <c r="P10" i="4"/>
  <c r="E10" i="4" s="1"/>
  <c r="O10" i="4"/>
  <c r="N10" i="4"/>
  <c r="M10" i="4"/>
  <c r="L10" i="4"/>
  <c r="K10" i="4"/>
  <c r="J10" i="4"/>
  <c r="U9" i="4"/>
  <c r="T9" i="4"/>
  <c r="R9" i="4"/>
  <c r="Q9" i="4"/>
  <c r="P9" i="4"/>
  <c r="O9" i="4"/>
  <c r="N9" i="4"/>
  <c r="M9" i="4"/>
  <c r="L9" i="4"/>
  <c r="K9" i="4"/>
  <c r="J9" i="4"/>
  <c r="E9" i="4" s="1"/>
  <c r="U8" i="4"/>
  <c r="T8" i="4"/>
  <c r="R8" i="4"/>
  <c r="Q8" i="4"/>
  <c r="P8" i="4"/>
  <c r="O8" i="4"/>
  <c r="N8" i="4"/>
  <c r="M8" i="4"/>
  <c r="L8" i="4"/>
  <c r="K8" i="4"/>
  <c r="J8" i="4"/>
  <c r="U7" i="4"/>
  <c r="T7" i="4"/>
  <c r="R7" i="4"/>
  <c r="Q7" i="4"/>
  <c r="P7" i="4"/>
  <c r="O7" i="4"/>
  <c r="N7" i="4"/>
  <c r="M7" i="4"/>
  <c r="L7" i="4"/>
  <c r="K7" i="4"/>
  <c r="J7" i="4"/>
  <c r="U6" i="4"/>
  <c r="T6" i="4"/>
  <c r="R6" i="4"/>
  <c r="Q6" i="4"/>
  <c r="P6" i="4"/>
  <c r="O6" i="4"/>
  <c r="N6" i="4"/>
  <c r="M6" i="4"/>
  <c r="L6" i="4"/>
  <c r="K6" i="4"/>
  <c r="J6" i="4"/>
  <c r="U5" i="4"/>
  <c r="T5" i="4"/>
  <c r="R5" i="4"/>
  <c r="Q5" i="4"/>
  <c r="P5" i="4"/>
  <c r="O5" i="4"/>
  <c r="N5" i="4"/>
  <c r="M5" i="4"/>
  <c r="L5" i="4"/>
  <c r="K5" i="4"/>
  <c r="J5" i="4"/>
  <c r="U4" i="4"/>
  <c r="T4" i="4"/>
  <c r="R4" i="4"/>
  <c r="Q4" i="4"/>
  <c r="P4" i="4"/>
  <c r="O4" i="4"/>
  <c r="N4" i="4"/>
  <c r="M4" i="4"/>
  <c r="L4" i="4"/>
  <c r="K4" i="4"/>
  <c r="J4" i="4"/>
  <c r="U3" i="4"/>
  <c r="T3" i="4"/>
  <c r="S3" i="4"/>
  <c r="R3" i="4"/>
  <c r="Q3" i="4"/>
  <c r="P3" i="4"/>
  <c r="O3" i="4"/>
  <c r="N3" i="4"/>
  <c r="E3" i="4" s="1"/>
  <c r="M3" i="4"/>
  <c r="L3" i="4"/>
  <c r="K3" i="4"/>
  <c r="J3" i="4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F3" i="3" a="1"/>
  <c r="F3" i="3" s="1"/>
  <c r="G3" i="3" s="1"/>
  <c r="N23" i="3"/>
  <c r="N24" i="3"/>
  <c r="N25" i="3"/>
  <c r="N26" i="3"/>
  <c r="N27" i="3"/>
  <c r="N28" i="3"/>
  <c r="N29" i="3"/>
  <c r="N30" i="3"/>
  <c r="N31" i="3"/>
  <c r="N32" i="3"/>
  <c r="N33" i="3"/>
  <c r="M23" i="3"/>
  <c r="M24" i="3"/>
  <c r="M25" i="3"/>
  <c r="M26" i="3"/>
  <c r="M27" i="3"/>
  <c r="M28" i="3"/>
  <c r="M29" i="3"/>
  <c r="M30" i="3"/>
  <c r="M31" i="3"/>
  <c r="M32" i="3"/>
  <c r="M33" i="3"/>
  <c r="K23" i="3"/>
  <c r="K24" i="3"/>
  <c r="K25" i="3"/>
  <c r="K26" i="3"/>
  <c r="K27" i="3"/>
  <c r="K28" i="3"/>
  <c r="K29" i="3"/>
  <c r="K30" i="3"/>
  <c r="K31" i="3"/>
  <c r="K32" i="3"/>
  <c r="K33" i="3"/>
  <c r="N22" i="3"/>
  <c r="M22" i="3"/>
  <c r="L22" i="3"/>
  <c r="K22" i="3"/>
  <c r="J23" i="3"/>
  <c r="J24" i="3"/>
  <c r="J25" i="3"/>
  <c r="J26" i="3"/>
  <c r="J27" i="3"/>
  <c r="J28" i="3"/>
  <c r="J29" i="3"/>
  <c r="J30" i="3"/>
  <c r="J31" i="3"/>
  <c r="J32" i="3"/>
  <c r="J33" i="3"/>
  <c r="J22" i="3"/>
  <c r="I25" i="3"/>
  <c r="I26" i="3"/>
  <c r="I27" i="3"/>
  <c r="I28" i="3"/>
  <c r="I29" i="3"/>
  <c r="I30" i="3"/>
  <c r="I31" i="3"/>
  <c r="I32" i="3"/>
  <c r="I33" i="3"/>
  <c r="I23" i="3"/>
  <c r="I24" i="3"/>
  <c r="I22" i="3"/>
  <c r="H25" i="3"/>
  <c r="H26" i="3"/>
  <c r="H27" i="3"/>
  <c r="H28" i="3"/>
  <c r="H29" i="3"/>
  <c r="H30" i="3"/>
  <c r="H31" i="3"/>
  <c r="H32" i="3"/>
  <c r="H33" i="3"/>
  <c r="H23" i="3"/>
  <c r="H24" i="3"/>
  <c r="H22" i="3"/>
  <c r="G25" i="3"/>
  <c r="G26" i="3"/>
  <c r="G27" i="3"/>
  <c r="G28" i="3"/>
  <c r="G29" i="3"/>
  <c r="G30" i="3"/>
  <c r="G31" i="3"/>
  <c r="G32" i="3"/>
  <c r="G33" i="3"/>
  <c r="G23" i="3"/>
  <c r="G24" i="3"/>
  <c r="G22" i="3"/>
  <c r="F25" i="3"/>
  <c r="F26" i="3"/>
  <c r="F27" i="3"/>
  <c r="F28" i="3"/>
  <c r="F29" i="3"/>
  <c r="F30" i="3"/>
  <c r="F31" i="3"/>
  <c r="F32" i="3"/>
  <c r="F33" i="3"/>
  <c r="F23" i="3"/>
  <c r="F24" i="3"/>
  <c r="F22" i="3"/>
  <c r="E25" i="3"/>
  <c r="E26" i="3"/>
  <c r="E27" i="3"/>
  <c r="E28" i="3"/>
  <c r="E29" i="3"/>
  <c r="E30" i="3"/>
  <c r="E31" i="3"/>
  <c r="E32" i="3"/>
  <c r="E33" i="3"/>
  <c r="E23" i="3"/>
  <c r="E24" i="3"/>
  <c r="E22" i="3"/>
  <c r="C22" i="3"/>
  <c r="D23" i="3"/>
  <c r="D24" i="3"/>
  <c r="D25" i="3"/>
  <c r="D26" i="3"/>
  <c r="D27" i="3"/>
  <c r="D28" i="3"/>
  <c r="D29" i="3"/>
  <c r="D30" i="3"/>
  <c r="D31" i="3"/>
  <c r="D32" i="3"/>
  <c r="D33" i="3"/>
  <c r="D22" i="3"/>
  <c r="C23" i="3"/>
  <c r="C24" i="3"/>
  <c r="C25" i="3"/>
  <c r="C26" i="3"/>
  <c r="C27" i="3"/>
  <c r="C28" i="3"/>
  <c r="C29" i="3"/>
  <c r="C30" i="3"/>
  <c r="C31" i="3"/>
  <c r="C32" i="3"/>
  <c r="C33" i="3"/>
  <c r="C22" i="1"/>
  <c r="B28" i="3"/>
  <c r="C4" i="3"/>
  <c r="B23" i="3" s="1"/>
  <c r="C5" i="3"/>
  <c r="B24" i="3" s="1"/>
  <c r="C6" i="3"/>
  <c r="B25" i="3" s="1"/>
  <c r="C7" i="3"/>
  <c r="B26" i="3" s="1"/>
  <c r="C8" i="3"/>
  <c r="B27" i="3" s="1"/>
  <c r="C9" i="3"/>
  <c r="C10" i="3"/>
  <c r="B29" i="3" s="1"/>
  <c r="C11" i="3"/>
  <c r="B30" i="3" s="1"/>
  <c r="C12" i="3"/>
  <c r="B31" i="3" s="1"/>
  <c r="C13" i="3"/>
  <c r="B32" i="3" s="1"/>
  <c r="C14" i="3"/>
  <c r="B33" i="3" s="1"/>
  <c r="C3" i="3"/>
  <c r="B22" i="3" s="1"/>
  <c r="L8" i="7" l="1" a="1"/>
  <c r="L8" i="7" s="1"/>
  <c r="H22" i="5"/>
  <c r="K23" i="5"/>
  <c r="F24" i="5"/>
  <c r="N24" i="5"/>
  <c r="I25" i="5"/>
  <c r="D26" i="5"/>
  <c r="L26" i="5"/>
  <c r="G27" i="5"/>
  <c r="J28" i="5"/>
  <c r="E29" i="5"/>
  <c r="M29" i="5"/>
  <c r="H30" i="5"/>
  <c r="K31" i="5"/>
  <c r="F32" i="5"/>
  <c r="N32" i="5"/>
  <c r="I33" i="5"/>
  <c r="C21" i="5"/>
  <c r="I22" i="5"/>
  <c r="D23" i="5"/>
  <c r="L23" i="5"/>
  <c r="G24" i="5"/>
  <c r="J25" i="5"/>
  <c r="E26" i="5"/>
  <c r="M26" i="5"/>
  <c r="H27" i="5"/>
  <c r="K28" i="5"/>
  <c r="F29" i="5"/>
  <c r="N29" i="5"/>
  <c r="I30" i="5"/>
  <c r="D31" i="5"/>
  <c r="L31" i="5"/>
  <c r="G32" i="5"/>
  <c r="J33" i="5"/>
  <c r="J22" i="5"/>
  <c r="E23" i="5"/>
  <c r="M23" i="5"/>
  <c r="H24" i="5"/>
  <c r="K25" i="5"/>
  <c r="F26" i="5"/>
  <c r="N26" i="5"/>
  <c r="I27" i="5"/>
  <c r="D28" i="5"/>
  <c r="L28" i="5"/>
  <c r="G29" i="5"/>
  <c r="J30" i="5"/>
  <c r="E31" i="5"/>
  <c r="M31" i="5"/>
  <c r="H32" i="5"/>
  <c r="K33" i="5"/>
  <c r="K22" i="5"/>
  <c r="F23" i="5"/>
  <c r="N23" i="5"/>
  <c r="I24" i="5"/>
  <c r="D25" i="5"/>
  <c r="L25" i="5"/>
  <c r="G26" i="5"/>
  <c r="J27" i="5"/>
  <c r="E28" i="5"/>
  <c r="M28" i="5"/>
  <c r="H29" i="5"/>
  <c r="K30" i="5"/>
  <c r="F31" i="5"/>
  <c r="N31" i="5"/>
  <c r="I32" i="5"/>
  <c r="D33" i="5"/>
  <c r="L33" i="5"/>
  <c r="D22" i="5"/>
  <c r="L22" i="5"/>
  <c r="G23" i="5"/>
  <c r="J24" i="5"/>
  <c r="E25" i="5"/>
  <c r="M25" i="5"/>
  <c r="H26" i="5"/>
  <c r="K27" i="5"/>
  <c r="F28" i="5"/>
  <c r="N28" i="5"/>
  <c r="I29" i="5"/>
  <c r="D30" i="5"/>
  <c r="L30" i="5"/>
  <c r="G31" i="5"/>
  <c r="J32" i="5"/>
  <c r="E33" i="5"/>
  <c r="M33" i="5"/>
  <c r="E22" i="5"/>
  <c r="M22" i="5"/>
  <c r="H23" i="5"/>
  <c r="K24" i="5"/>
  <c r="F25" i="5"/>
  <c r="N25" i="5"/>
  <c r="I26" i="5"/>
  <c r="D27" i="5"/>
  <c r="L27" i="5"/>
  <c r="G28" i="5"/>
  <c r="J29" i="5"/>
  <c r="E30" i="5"/>
  <c r="M30" i="5"/>
  <c r="H31" i="5"/>
  <c r="K32" i="5"/>
  <c r="F33" i="5"/>
  <c r="H7" i="4"/>
  <c r="H14" i="4"/>
  <c r="H6" i="4"/>
  <c r="H13" i="4"/>
  <c r="H5" i="4"/>
  <c r="H12" i="4"/>
  <c r="H4" i="4"/>
  <c r="H11" i="4"/>
  <c r="H15" i="4"/>
  <c r="H16" i="4"/>
  <c r="G8" i="3"/>
  <c r="G7" i="3"/>
  <c r="G14" i="3"/>
  <c r="G6" i="3"/>
  <c r="G13" i="3"/>
  <c r="G5" i="3"/>
  <c r="G12" i="3"/>
  <c r="G4" i="3"/>
  <c r="G11" i="3"/>
  <c r="G10" i="3"/>
  <c r="G9" i="3"/>
  <c r="C32" i="5" l="1"/>
  <c r="C24" i="5"/>
  <c r="C27" i="5"/>
  <c r="C30" i="5"/>
  <c r="C22" i="5"/>
  <c r="C33" i="5"/>
  <c r="C25" i="5"/>
  <c r="C26" i="5"/>
  <c r="C29" i="5"/>
  <c r="C28" i="5"/>
  <c r="C31" i="5"/>
  <c r="C23" i="5"/>
  <c r="H3" i="5" l="1" a="1"/>
  <c r="I14" i="5" l="1"/>
  <c r="I12" i="5"/>
  <c r="I10" i="5"/>
  <c r="I8" i="5"/>
  <c r="I6" i="5"/>
  <c r="I4" i="5"/>
  <c r="H3" i="5"/>
  <c r="I3" i="5" s="1"/>
  <c r="I13" i="5"/>
  <c r="I11" i="5"/>
  <c r="I9" i="5"/>
  <c r="I7" i="5"/>
  <c r="I5" i="5"/>
  <c r="J6" i="1" l="1"/>
  <c r="J4" i="1"/>
  <c r="J5" i="1"/>
  <c r="J7" i="1"/>
  <c r="J8" i="1"/>
  <c r="J9" i="1"/>
  <c r="J10" i="1"/>
  <c r="J11" i="1"/>
  <c r="J12" i="1"/>
  <c r="J13" i="1"/>
  <c r="J14" i="1"/>
  <c r="J3" i="1"/>
  <c r="H3" i="1" a="1"/>
  <c r="H3" i="1" s="1"/>
  <c r="I4" i="1" l="1"/>
  <c r="K4" i="1" s="1"/>
  <c r="I5" i="1"/>
  <c r="K5" i="1" s="1"/>
  <c r="I6" i="1"/>
  <c r="K6" i="1" s="1"/>
  <c r="I7" i="1"/>
  <c r="K7" i="1" s="1"/>
  <c r="I8" i="1"/>
  <c r="K8" i="1" s="1"/>
  <c r="I9" i="1"/>
  <c r="K9" i="1" s="1"/>
  <c r="I10" i="1"/>
  <c r="K10" i="1" s="1"/>
  <c r="I11" i="1"/>
  <c r="K11" i="1" s="1"/>
  <c r="I12" i="1"/>
  <c r="K12" i="1" s="1"/>
  <c r="I13" i="1"/>
  <c r="K13" i="1" s="1"/>
  <c r="I14" i="1"/>
  <c r="K14" i="1" s="1"/>
  <c r="I3" i="1"/>
  <c r="K3" i="1" s="1"/>
  <c r="N23" i="1"/>
  <c r="N24" i="1"/>
  <c r="N25" i="1"/>
  <c r="N26" i="1"/>
  <c r="N27" i="1"/>
  <c r="N28" i="1"/>
  <c r="N29" i="1"/>
  <c r="N30" i="1"/>
  <c r="N31" i="1"/>
  <c r="N32" i="1"/>
  <c r="N33" i="1"/>
  <c r="N22" i="1"/>
  <c r="M23" i="1"/>
  <c r="M24" i="1"/>
  <c r="M25" i="1"/>
  <c r="M26" i="1"/>
  <c r="M27" i="1"/>
  <c r="M28" i="1"/>
  <c r="M29" i="1"/>
  <c r="M30" i="1"/>
  <c r="M31" i="1"/>
  <c r="M32" i="1"/>
  <c r="M33" i="1"/>
  <c r="M22" i="1"/>
  <c r="L23" i="1"/>
  <c r="L24" i="1"/>
  <c r="L25" i="1"/>
  <c r="L26" i="1"/>
  <c r="L27" i="1"/>
  <c r="L28" i="1"/>
  <c r="L29" i="1"/>
  <c r="L30" i="1"/>
  <c r="L31" i="1"/>
  <c r="L32" i="1"/>
  <c r="L33" i="1"/>
  <c r="K23" i="1"/>
  <c r="K24" i="1"/>
  <c r="K25" i="1"/>
  <c r="K26" i="1"/>
  <c r="K27" i="1"/>
  <c r="K28" i="1"/>
  <c r="K29" i="1"/>
  <c r="K30" i="1"/>
  <c r="K31" i="1"/>
  <c r="K32" i="1"/>
  <c r="K33" i="1"/>
  <c r="J23" i="1"/>
  <c r="J24" i="1"/>
  <c r="J25" i="1"/>
  <c r="J26" i="1"/>
  <c r="J27" i="1"/>
  <c r="J28" i="1"/>
  <c r="J29" i="1"/>
  <c r="J30" i="1"/>
  <c r="J31" i="1"/>
  <c r="J32" i="1"/>
  <c r="J33" i="1"/>
  <c r="L22" i="1"/>
  <c r="K22" i="1"/>
  <c r="J22" i="1"/>
  <c r="I23" i="1"/>
  <c r="I24" i="1"/>
  <c r="I25" i="1"/>
  <c r="I26" i="1"/>
  <c r="I27" i="1"/>
  <c r="I28" i="1"/>
  <c r="I29" i="1"/>
  <c r="I30" i="1"/>
  <c r="I31" i="1"/>
  <c r="I32" i="1"/>
  <c r="I33" i="1"/>
  <c r="I22" i="1"/>
  <c r="H23" i="1"/>
  <c r="H24" i="1"/>
  <c r="H25" i="1"/>
  <c r="H26" i="1"/>
  <c r="H27" i="1"/>
  <c r="H28" i="1"/>
  <c r="H29" i="1"/>
  <c r="H30" i="1"/>
  <c r="H31" i="1"/>
  <c r="H32" i="1"/>
  <c r="H33" i="1"/>
  <c r="H22" i="1"/>
  <c r="G23" i="1"/>
  <c r="G24" i="1"/>
  <c r="G25" i="1"/>
  <c r="G26" i="1"/>
  <c r="G27" i="1"/>
  <c r="G28" i="1"/>
  <c r="G29" i="1"/>
  <c r="G30" i="1"/>
  <c r="G31" i="1"/>
  <c r="G32" i="1"/>
  <c r="G33" i="1"/>
  <c r="G22" i="1"/>
  <c r="F23" i="1"/>
  <c r="F24" i="1"/>
  <c r="F25" i="1"/>
  <c r="F26" i="1"/>
  <c r="F27" i="1"/>
  <c r="F28" i="1"/>
  <c r="F29" i="1"/>
  <c r="F30" i="1"/>
  <c r="F31" i="1"/>
  <c r="F32" i="1"/>
  <c r="F33" i="1"/>
  <c r="F22" i="1"/>
  <c r="E23" i="1"/>
  <c r="E24" i="1"/>
  <c r="E25" i="1"/>
  <c r="E26" i="1"/>
  <c r="E27" i="1"/>
  <c r="E28" i="1"/>
  <c r="E29" i="1"/>
  <c r="E30" i="1"/>
  <c r="E31" i="1"/>
  <c r="E32" i="1"/>
  <c r="E33" i="1"/>
  <c r="E22" i="1"/>
  <c r="D23" i="1"/>
  <c r="D24" i="1"/>
  <c r="D25" i="1"/>
  <c r="D26" i="1"/>
  <c r="D27" i="1"/>
  <c r="D28" i="1"/>
  <c r="D29" i="1"/>
  <c r="D30" i="1"/>
  <c r="D31" i="1"/>
  <c r="D32" i="1"/>
  <c r="D33" i="1"/>
  <c r="D22" i="1"/>
  <c r="C23" i="1"/>
  <c r="C24" i="1"/>
  <c r="C25" i="1"/>
  <c r="C26" i="1"/>
  <c r="C27" i="1"/>
  <c r="C28" i="1"/>
  <c r="C29" i="1"/>
  <c r="C30" i="1"/>
  <c r="C31" i="1"/>
  <c r="C32" i="1"/>
  <c r="C33" i="1"/>
  <c r="N7" i="1" l="1"/>
  <c r="C21" i="1" a="1"/>
  <c r="C21" i="1" s="1"/>
  <c r="C3" i="1" l="1"/>
  <c r="B22" i="1" s="1"/>
  <c r="C4" i="1"/>
  <c r="B23" i="1" s="1"/>
  <c r="C5" i="1"/>
  <c r="B24" i="1" s="1"/>
  <c r="C6" i="1"/>
  <c r="B25" i="1" s="1"/>
  <c r="C7" i="1"/>
  <c r="B26" i="1" s="1"/>
  <c r="C8" i="1"/>
  <c r="B27" i="1" s="1"/>
  <c r="C9" i="1"/>
  <c r="B28" i="1" s="1"/>
  <c r="C10" i="1"/>
  <c r="B29" i="1" s="1"/>
  <c r="C11" i="1"/>
  <c r="B30" i="1" s="1"/>
  <c r="C12" i="1"/>
  <c r="B31" i="1" s="1"/>
  <c r="C13" i="1"/>
  <c r="B32" i="1" s="1"/>
  <c r="C14" i="1"/>
  <c r="B3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<sst xmlns="http://schemas.openxmlformats.org/spreadsheetml/2006/main" count="139" uniqueCount="49">
  <si>
    <t>Fitting Nelson Siegel</t>
  </si>
  <si>
    <t xml:space="preserve">Bond </t>
  </si>
  <si>
    <t>Price</t>
  </si>
  <si>
    <t>Maturity (Years)</t>
  </si>
  <si>
    <t>Coupon rate</t>
  </si>
  <si>
    <t>Maturity</t>
  </si>
  <si>
    <t>NS rate</t>
  </si>
  <si>
    <t>Error</t>
  </si>
  <si>
    <t>A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</si>
  <si>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</si>
  <si>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</si>
  <si>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</si>
  <si>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</si>
  <si>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</si>
  <si>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</si>
  <si>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</si>
  <si>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</si>
  <si>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</si>
  <si>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</si>
  <si>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F</t>
  </si>
  <si>
    <t>Zero rates</t>
  </si>
  <si>
    <t>d (t)</t>
  </si>
  <si>
    <t>y (t)</t>
  </si>
  <si>
    <t>Face Value</t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</si>
  <si>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"/>
        <family val="2"/>
      </rPr>
      <t>1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</si>
  <si>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"/>
        <family val="2"/>
      </rPr>
      <t>2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</si>
  <si>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"/>
        <family val="2"/>
      </rPr>
      <t>3</t>
    </r>
  </si>
  <si>
    <t>b</t>
  </si>
  <si>
    <t>Discount factor</t>
  </si>
  <si>
    <t>Interest rate</t>
  </si>
  <si>
    <t>Maturity
(years)</t>
  </si>
  <si>
    <t>YTM</t>
  </si>
  <si>
    <t>Disount with few bonds for t</t>
  </si>
  <si>
    <t>Actual Price</t>
  </si>
  <si>
    <t>Fitted Price</t>
  </si>
  <si>
    <t>309 Treasury Notes on 30-September-2019</t>
  </si>
  <si>
    <t>Coupon</t>
  </si>
  <si>
    <t>Clean price</t>
  </si>
  <si>
    <t>Yield</t>
  </si>
  <si>
    <t>Accrued interest</t>
  </si>
  <si>
    <t>Current date</t>
  </si>
  <si>
    <t>Invoice price (dirty price)</t>
  </si>
  <si>
    <t>COMPUTING THE NELSON-SIEGEL TERM STRUCTURE FOR TREASURY NOTES
309 Treasury Notes on 30 September 2019</t>
  </si>
  <si>
    <t>Current date (settlement date)</t>
  </si>
  <si>
    <t>Term to maturity</t>
  </si>
  <si>
    <t>NS price</t>
  </si>
  <si>
    <t>a1</t>
  </si>
  <si>
    <t>a2</t>
  </si>
  <si>
    <t>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</si>
</sst>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₹&quot;\ #,##0.00;[Red]&quot;₹&quot;\ \-#,##0.00"/>
    <numFmt numFmtId="164" formatCode="0.0000"/>
    <numFmt numFmtId="165" formatCode="0.00000"/>
    <numFmt numFmtId="166" formatCode="0.000000%"/>
    <numFmt numFmtId="167" formatCode="0.0%"/>
    <numFmt numFmtId="168" formatCode="0.000%"/>
    <numFmt numFmtId="169" formatCode="0.0000%"/>
    <numFmt numFmtId="170" formatCode="#,##0.000"/>
    <numFmt numFmtId="171" formatCode="_(* #,##0.00_);_(* \(#,##0.00\);_(* &quot;-&quot;??_);_(@_)"/>
    <numFmt numFmtId="172" formatCode="0.000000"/>
  </numFmts>
  <fonts count="10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1"/>
      <charset val="2"/>
    </font>
    <font>
      <sz val="11"/>
      <color theme="1"/>
      <name val="Symbol"/>
      <family val="1"/>
      <charset val="2"/>
    </font>
    <font>
      <vertAlign val="subscript"/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1" fillId="0" borderId="0"/>
    <xf numFmtId="171" fontId="1" fillId="0" borderId="0" applyFont="0" applyFill="0" applyBorder="0" applyAlignment="0" applyProtection="0"/>
  </cellStyleXfs>
  <cellXfs count="33">
    <xf numFmtId="0" fontId="0" fillId="0" borderId="0" xfId="0"/>
    <xf numFmtId="10" fontId="0" fillId="0" borderId="0" xfId="0" applyNumberFormat="1"/>
    <xf numFmtId="2" fontId="0" fillId="0" borderId="0" xfId="0" applyNumberFormat="1"/>
    <xf numFmtId="8" fontId="0" fillId="0" borderId="0" xfId="0" applyNumberFormat="1"/>
    <xf numFmtId="164" fontId="0" fillId="0" borderId="0" xfId="0" applyNumberFormat="1"/>
    <xf numFmtId="0" fontId="2" fillId="2" borderId="0" xfId="1" applyFont="1" applyFill="1"/>
    <xf numFmtId="165" fontId="5" fillId="2" borderId="0" xfId="1" applyNumberFormat="1" applyFont="1" applyFill="1"/>
    <xf numFmtId="0" fontId="3" fillId="2" borderId="0" xfId="1" applyFont="1" applyFill="1"/>
    <xf numFmtId="0" fontId="6" fillId="2" borderId="0" xfId="0" applyFont="1" applyFill="1"/>
    <xf numFmtId="166" fontId="0" fillId="0" borderId="0" xfId="0" applyNumberFormat="1"/>
    <xf numFmtId="0" fontId="0" fillId="0" borderId="0" xfId="0" applyAlignment="1">
      <alignment horizontal="center"/>
    </xf>
    <xf numFmtId="167" fontId="0" fillId="0" borderId="0" xfId="0" applyNumberFormat="1"/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15" fontId="0" fillId="0" borderId="0" xfId="0" applyNumberFormat="1"/>
    <xf numFmtId="0" fontId="9" fillId="0" borderId="0" xfId="2" applyFont="1" applyAlignment="1">
      <alignment horizontal="center" wrapText="1"/>
    </xf>
    <xf numFmtId="0" fontId="9" fillId="0" borderId="0" xfId="2" applyFont="1" applyAlignment="1">
      <alignment wrapText="1"/>
    </xf>
    <xf numFmtId="170" fontId="9" fillId="0" borderId="0" xfId="2" applyNumberFormat="1" applyFont="1" applyAlignment="1">
      <alignment horizontal="center"/>
    </xf>
    <xf numFmtId="15" fontId="5" fillId="0" borderId="0" xfId="2" applyNumberFormat="1" applyFont="1"/>
    <xf numFmtId="170" fontId="5" fillId="0" borderId="0" xfId="3" applyNumberFormat="1" applyFont="1"/>
    <xf numFmtId="170" fontId="5" fillId="0" borderId="0" xfId="2" applyNumberFormat="1" applyFont="1"/>
    <xf numFmtId="4" fontId="5" fillId="0" borderId="0" xfId="2" applyNumberFormat="1" applyFont="1"/>
    <xf numFmtId="165" fontId="0" fillId="0" borderId="0" xfId="0" applyNumberFormat="1"/>
    <xf numFmtId="172" fontId="0" fillId="0" borderId="0" xfId="0" applyNumberFormat="1"/>
    <xf numFmtId="15" fontId="9" fillId="0" borderId="0" xfId="2" applyNumberFormat="1" applyFont="1"/>
    <xf numFmtId="170" fontId="9" fillId="0" borderId="0" xfId="3" applyNumberFormat="1" applyFont="1"/>
    <xf numFmtId="4" fontId="9" fillId="0" borderId="0" xfId="2" applyNumberFormat="1" applyFont="1"/>
    <xf numFmtId="170" fontId="9" fillId="0" borderId="0" xfId="2" applyNumberFormat="1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2" applyFont="1" applyAlignment="1">
      <alignment horizontal="center"/>
    </xf>
    <xf numFmtId="0" fontId="8" fillId="0" borderId="0" xfId="2" applyFont="1" applyAlignment="1">
      <alignment horizontal="center" wrapText="1"/>
    </xf>
  </cellXfs>
  <cellStyles count="4">
    <cellStyle name="Comma 3" xfId="3" xr:uid="{2FDC7B9C-DA76-45A8-9E22-F634F972CFA8}"/>
    <cellStyle name="Normal" xfId="0" builtinId="0"/>
    <cellStyle name="Normal 2" xfId="1" xr:uid="{2BD12A42-C0E5-49EB-8BE5-46C11EFE1574}"/>
    <cellStyle name="Normal 3" xfId="2" xr:uid="{5A0019FA-90D5-49F3-83AD-D93B6B8B251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'Pure discount Term Structure'!$G$2</c:f>
              <c:strCache>
                <c:ptCount val="1"/>
                <c:pt idx="0">
                  <c:v>Interest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'Pure discount Term Structure'!$D$3:$D$14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'Pure discount Term Structure'!$G$3:$G$14</c:f>
              <c:numCache>
                <c:formatCode>0.00%</c:formatCode>
                <c:ptCount val="12"/>
                <c:pt idx="0">
                  <c:v>6.1565355658154727E-2</c:v>
                </c:pt>
                <c:pt idx="1">
                  <c:v>6.0326394977522464E-2</c:v>
                </c:pt>
                <c:pt idx="2">
                  <c:v>6.032916582793358E-2</c:v>
                </c:pt>
                <c:pt idx="3">
                  <c:v>6.0529336828931211E-2</c:v>
                </c:pt>
                <c:pt idx="4">
                  <c:v>6.093863650400113E-2</c:v>
                </c:pt>
                <c:pt idx="5">
                  <c:v>6.1360446330203128E-2</c:v>
                </c:pt>
                <c:pt idx="6">
                  <c:v>6.1907784192996543E-2</c:v>
                </c:pt>
                <c:pt idx="7">
                  <c:v>6.2363006400498376E-2</c:v>
                </c:pt>
                <c:pt idx="8">
                  <c:v>6.2960145171269355E-2</c:v>
                </c:pt>
                <c:pt idx="9">
                  <c:v>6.3459990535675664E-2</c:v>
                </c:pt>
                <c:pt idx="10">
                  <c:v>6.3986564150411471E-2</c:v>
                </c:pt>
                <c:pt idx="11">
                  <c:v>6.4542614122284334E-2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8C-48F7-AB34-340282F24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6831"/>
        <c:axId val="51503951"/>
      </c:scatterChart>
      <c:valAx>
        <c:axId val="51506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3951"/>
        <c:crosses val="autoZero"/>
        <c:crossBetween val="midCat"/>
      </c:valAx>
      <c:valAx>
        <c:axId val="5150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6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'Disount with few bonds for t'!$E$2</c:f>
              <c:strCache>
                <c:ptCount val="1"/>
                <c:pt idx="0">
                  <c:v>YTM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'Disount with few bonds for t'!$C$3:$C$17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  <c:pt idx="14">
                  <c:v>12</c:v>
                </c:pt>
              </c:numCache>
            </c:numRef>
          </c:xVal>
          <c:yVal>
            <c:numRef>
              <c:f>'Disount with few bonds for t'!$E$3:$E$17</c:f>
              <c:numCache>
                <c:formatCode>0.000%</c:formatCode>
                <c:ptCount val="15"/>
                <c:pt idx="0">
                  <c:v>0.10994247585051853</c:v>
                </c:pt>
                <c:pt idx="1">
                  <c:v>0.1246814263365188</c:v>
                </c:pt>
                <c:pt idx="2">
                  <c:v>0.131988675954958</c:v>
                </c:pt>
                <c:pt idx="3">
                  <c:v>0.13319826148055447</c:v>
                </c:pt>
                <c:pt idx="4">
                  <c:v>0.13223704499424627</c:v>
                </c:pt>
                <c:pt idx="5">
                  <c:v>0.13138106747245781</c:v>
                </c:pt>
                <c:pt idx="6">
                  <c:v>0.13006826896266066</c:v>
                </c:pt>
                <c:pt idx="7">
                  <c:v>0.12561418759006848</c:v>
                </c:pt>
                <c:pt idx="8">
                  <c:v>0.12740601839311783</c:v>
                </c:pt>
                <c:pt idx="9">
                  <c:v>0.12533935629746384</c:v>
                </c:pt>
                <c:pt idx="10">
                  <c:v>0.12750265110874159</c:v>
                </c:pt>
                <c:pt idx="11">
                  <c:v>0.12348806456461592</c:v>
                </c:pt>
                <c:pt idx="12">
                  <c:v>0.12189955738347913</c:v>
                </c:pt>
                <c:pt idx="13">
                  <c:v>0.12056940511318381</c:v>
                </c:pt>
                <c:pt idx="14">
                  <c:v>0.11947029770728168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F5-42B1-8959-4D9EA876A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7791"/>
        <c:axId val="51501551"/>
      </c:scatterChart>
      <c:valAx>
        <c:axId val="51507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1551"/>
        <c:crosses val="autoZero"/>
        <c:crossBetween val="midCat"/>
      </c:valAx>
      <c:valAx>
        <c:axId val="51501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77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y (t): </a:t>
            </a: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Least Square Term-Structure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'd(t) with multiple bond for t'!$I$2</c:f>
              <c:strCache>
                <c:ptCount val="1"/>
                <c:pt idx="0">
                  <c:v>y (t)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'd(t) with multiple bond for t'!$G$3:$G$14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'd(t) with multiple bond for t'!$I$3:$I$14</c:f>
              <c:numCache>
                <c:formatCode>0.0000%</c:formatCode>
                <c:ptCount val="12"/>
                <c:pt idx="0">
                  <c:v>6.156535565815402E-2</c:v>
                </c:pt>
                <c:pt idx="1">
                  <c:v>6.0326394977522027E-2</c:v>
                </c:pt>
                <c:pt idx="2">
                  <c:v>6.0329165827933316E-2</c:v>
                </c:pt>
                <c:pt idx="3">
                  <c:v>6.0529336828931211E-2</c:v>
                </c:pt>
                <c:pt idx="4">
                  <c:v>6.0938636504001255E-2</c:v>
                </c:pt>
                <c:pt idx="5">
                  <c:v>6.1360446330203128E-2</c:v>
                </c:pt>
                <c:pt idx="6">
                  <c:v>6.1907784192996473E-2</c:v>
                </c:pt>
                <c:pt idx="7">
                  <c:v>6.2363006400498376E-2</c:v>
                </c:pt>
                <c:pt idx="8">
                  <c:v>6.2960145171269397E-2</c:v>
                </c:pt>
                <c:pt idx="9">
                  <c:v>6.3459990535675651E-2</c:v>
                </c:pt>
                <c:pt idx="10">
                  <c:v>6.3986564150411498E-2</c:v>
                </c:pt>
                <c:pt idx="11">
                  <c:v>6.4542614122284403E-2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3A-4F72-A8BD-B58F57851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73231"/>
        <c:axId val="51478511"/>
      </c:scatterChart>
      <c:valAx>
        <c:axId val="51473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8511"/>
        <c:crosses val="autoZero"/>
        <c:crossBetween val="midCat"/>
      </c:valAx>
      <c:valAx>
        <c:axId val="5147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32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'd(t) with multiple bond for t'!$K$2</c:f>
              <c:strCache>
                <c:ptCount val="1"/>
                <c:pt idx="0">
                  <c:v>Actual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'd(t) with multiple bond for t'!$K$3:$K$14</c:f>
              <c:numCache>
                <c:formatCode>0.0000</c:formatCode>
                <c:ptCount val="12"/>
                <c:pt idx="0">
                  <c:v>95.909732016925261</c:v>
                </c:pt>
                <c:pt idx="1">
                  <c:v>93.200748147932543</c:v>
                </c:pt>
                <c:pt idx="2">
                  <c:v>91.427815933946889</c:v>
                </c:pt>
                <c:pt idx="3">
                  <c:v>90.557556348670161</c:v>
                </c:pt>
                <c:pt idx="4">
                  <c:v>90.468527401506407</c:v>
                </c:pt>
                <c:pt idx="5">
                  <c:v>91.139747097039702</c:v>
                </c:pt>
                <c:pt idx="6">
                  <c:v>92.45170141669638</c:v>
                </c:pt>
                <c:pt idx="7">
                  <c:v>94.4396545275753</c:v>
                </c:pt>
                <c:pt idx="8">
                  <c:v>96.932915450516589</c:v>
                </c:pt>
                <c:pt idx="9">
                  <c:v>100</c:v>
                </c:pt>
                <c:pt idx="10">
                  <c:v>103.52982980016291</c:v>
                </c:pt>
                <c:pt idx="11">
                  <c:v>107.47367602391358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C-4F30-962E-3A93853943E0}"/>
            </c:ext>
          </c:extLst>
        </c:ser>
        <c:ser>
          <c:idx val="1"/>
          <c:order val="1"/>
          <c:tx>
            <c:strRef>
              <c:f>'d(t) with multiple bond for t'!$L$2</c:f>
              <c:strCache>
                <c:ptCount val="1"/>
                <c:pt idx="0">
                  <c:v>Fitted Price</c:v>
                </c:pt>
              </c:strCache>
            </c:strRef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'd(t) with multiple bond for t'!$L$3:$L$14</c:f>
              <c:numCache>
                <c:formatCode>0.0000</c:formatCode>
                <c:ptCount val="12"/>
                <c:pt idx="0">
                  <c:v>95.909732016925318</c:v>
                </c:pt>
                <c:pt idx="1">
                  <c:v>93.200748147932615</c:v>
                </c:pt>
                <c:pt idx="2">
                  <c:v>91.42781593394696</c:v>
                </c:pt>
                <c:pt idx="3">
                  <c:v>90.557556348670175</c:v>
                </c:pt>
                <c:pt idx="4">
                  <c:v>90.468527401506378</c:v>
                </c:pt>
                <c:pt idx="5">
                  <c:v>91.139747097039702</c:v>
                </c:pt>
                <c:pt idx="6">
                  <c:v>92.451701416696437</c:v>
                </c:pt>
                <c:pt idx="7">
                  <c:v>94.439654527575314</c:v>
                </c:pt>
                <c:pt idx="8">
                  <c:v>96.932915450516575</c:v>
                </c:pt>
                <c:pt idx="9">
                  <c:v>100.00000000000003</c:v>
                </c:pt>
                <c:pt idx="10">
                  <c:v>103.52982980016293</c:v>
                </c:pt>
                <c:pt idx="11">
                  <c:v>107.47367602391355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C-4F30-962E-3A9385394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97231"/>
        <c:axId val="51496271"/>
      </c:lineChart>
      <c:catAx>
        <c:axId val="514972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6271"/>
        <c:crosses val="autoZero"/>
        <c:auto val="1"/>
        <c:lblAlgn val="ctr"/>
        <c:lblOffset val="100"/>
        <c:noMultiLvlLbl val="0"/>
      </c:catAx>
      <c:valAx>
        <c:axId val="51496271"/>
        <c:scaling>
          <c:orientation val="minMax"/>
          <c:max val="108"/>
          <c:min val="8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7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ysClr val="windowText" lastClr="000000"/>
                </a:solidFill>
              </a:rPr>
              <a:t>Least Squares vs. Nelson-Siegel rate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IN"/>
              <a:t> </a:t>
            </a:r>
          </a:p>
        </c:rich>
      </c:tx>
      <c:layout>
        <c:manualLayout>
          <c:xMode val="edge"/>
          <c:yMode val="edge"/>
          <c:x val="0.1815833333333333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'NS Curve fitting'!$I$2</c:f>
              <c:strCache>
                <c:ptCount val="1"/>
                <c:pt idx="0">
                  <c:v>y (t)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'NS Curve fitting'!$I$3:$I$14</c:f>
              <c:numCache>
                <c:formatCode>0.00%</c:formatCode>
                <c:ptCount val="12"/>
                <c:pt idx="0">
                  <c:v>6.156535565815402E-2</c:v>
                </c:pt>
                <c:pt idx="1">
                  <c:v>6.0326394977522027E-2</c:v>
                </c:pt>
                <c:pt idx="2">
                  <c:v>6.0329165827933316E-2</c:v>
                </c:pt>
                <c:pt idx="3">
                  <c:v>6.0529336828931211E-2</c:v>
                </c:pt>
                <c:pt idx="4">
                  <c:v>6.0938636504001255E-2</c:v>
                </c:pt>
                <c:pt idx="5">
                  <c:v>6.1360446330203128E-2</c:v>
                </c:pt>
                <c:pt idx="6">
                  <c:v>6.1907784192996473E-2</c:v>
                </c:pt>
                <c:pt idx="7">
                  <c:v>6.2363006400498376E-2</c:v>
                </c:pt>
                <c:pt idx="8">
                  <c:v>6.2960145171269397E-2</c:v>
                </c:pt>
                <c:pt idx="9">
                  <c:v>6.3459990535675651E-2</c:v>
                </c:pt>
                <c:pt idx="10">
                  <c:v>6.3986564150411498E-2</c:v>
                </c:pt>
                <c:pt idx="11">
                  <c:v>6.4542614122284403E-2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41-4AB2-85D0-CA95D1912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592911"/>
        <c:axId val="195593871"/>
      </c:lineChart>
      <c:lineChart>
        <c:grouping val="stacked"/>
        <c:varyColors val="0"/>
        <c:ser>
          <c:idx val="1"/>
          <c:order val="1"/>
          <c:tx>
            <c:strRef>
              <c:f>'NS Curve fitting'!$J$2</c:f>
              <c:strCache>
                <c:ptCount val="1"/>
                <c:pt idx="0">
                  <c:v>NS rate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'NS Curve fitting'!$J$3:$J$14</c:f>
              <c:numCache>
                <c:formatCode>0.000000%</c:formatCode>
                <c:ptCount val="12"/>
                <c:pt idx="0">
                  <c:v>6.1473266872267951E-2</c:v>
                </c:pt>
                <c:pt idx="1">
                  <c:v>6.0545382917319639E-2</c:v>
                </c:pt>
                <c:pt idx="2">
                  <c:v>6.029398135172595E-2</c:v>
                </c:pt>
                <c:pt idx="3">
                  <c:v>6.0449350125464436E-2</c:v>
                </c:pt>
                <c:pt idx="4">
                  <c:v>6.0836482184404635E-2</c:v>
                </c:pt>
                <c:pt idx="5">
                  <c:v>6.1343441180633861E-2</c:v>
                </c:pt>
                <c:pt idx="6">
                  <c:v>6.190003319822078E-2</c:v>
                </c:pt>
                <c:pt idx="7">
                  <c:v>6.2463474748619068E-2</c:v>
                </c:pt>
                <c:pt idx="8">
                  <c:v>6.3008800672928689E-2</c:v>
                </c:pt>
                <c:pt idx="9">
                  <c:v>6.3522475730712888E-2</c:v>
                </c:pt>
                <c:pt idx="10">
                  <c:v>6.3998165532440213E-2</c:v>
                </c:pt>
                <c:pt idx="11">
                  <c:v>6.4433958093782606E-2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41-4AB2-85D0-CA95D1912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346047"/>
        <c:axId val="764343167"/>
      </c:lineChart>
      <c:catAx>
        <c:axId val="195592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93871"/>
        <c:crosses val="autoZero"/>
        <c:auto val="1"/>
        <c:lblAlgn val="ctr"/>
        <c:lblOffset val="100"/>
        <c:noMultiLvlLbl val="0"/>
      </c:catAx>
      <c:valAx>
        <c:axId val="19559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92911"/>
        <c:crosses val="autoZero"/>
        <c:crossBetween val="between"/>
      </c:valAx>
      <c:valAx>
        <c:axId val="764343167"/>
        <c:scaling>
          <c:orientation val="minMax"/>
        </c:scaling>
        <c:delete val="0"/>
        <c:axPos val="r"/>
        <c:numFmt formatCode="0.0000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346047"/>
        <c:crosses val="max"/>
        <c:crossBetween val="between"/>
      </c:valAx>
      <c:catAx>
        <c:axId val="764346047"/>
        <c:scaling>
          <c:orientation val="minMax"/>
        </c:scaling>
        <c:delete val="1"/>
        <c:axPos val="b"/>
        <c:majorTickMark val="out"/>
        <c:minorTickMark val="none"/>
        <c:tickLblPos val="nextTo"/>
        <c:crossAx val="7643431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472440</xdr:colOff>
      <xdr:row>1</xdr:row>
      <xdr:rowOff>80010</xdr:rowOff>
    </xdr:from>
    <xdr:to>
      <xdr:col>16</xdr:col>
      <xdr:colOff>167640</xdr:colOff>
      <xdr:row>17</xdr:row>
      <xdr:rowOff>140970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840A31-FCF3-3914-FCA4-ABC15FDE60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396240</xdr:colOff>
      <xdr:row>17</xdr:row>
      <xdr:rowOff>140970</xdr:rowOff>
    </xdr:from>
    <xdr:to>
      <xdr:col>12</xdr:col>
      <xdr:colOff>152400</xdr:colOff>
      <xdr:row>34</xdr:row>
      <xdr:rowOff>34290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D3B268-1323-3A59-506F-3F66AC2D9C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259080</xdr:colOff>
      <xdr:row>0</xdr:row>
      <xdr:rowOff>41910</xdr:rowOff>
    </xdr:from>
    <xdr:to>
      <xdr:col>21</xdr:col>
      <xdr:colOff>563880</xdr:colOff>
      <xdr:row>16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1AC05E-D88B-F0AF-9969-F4BB12C6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434340</xdr:colOff>
      <xdr:row>21</xdr:row>
      <xdr:rowOff>41910</xdr:rowOff>
    </xdr:from>
    <xdr:to>
      <xdr:col>27</xdr:col>
      <xdr:colOff>228600</xdr:colOff>
      <xdr:row>40</xdr:row>
      <xdr:rowOff>137160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1417CF-EA9F-CCDF-8511-8D4CC212BF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15240</xdr:colOff>
      <xdr:row>1</xdr:row>
      <xdr:rowOff>118110</xdr:rowOff>
    </xdr:from>
    <xdr:to>
      <xdr:col>23</xdr:col>
      <xdr:colOff>320040</xdr:colOff>
      <xdr:row>17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3D673B-F000-EDE0-3024-8B9AD214C5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D498E-2325-4175-B5DE-E31F2CDAB7BF}">
  <sheetPr codeName="Sheet1"/>
  <dimension ref="A1:N33"/>
  <sheetViews>
    <sheetView workbookViewId="0">
      <selection activeCell="B3" sqref="B3"/>
    </sheetView>
  </sheetViews>
  <sheetFormatPr defaultRowHeight="13.2"/>
  <cols>
    <col min="1" max="1" width="35.6640625" customWidth="1"/>
    <col min="3" max="3" width="24.88671875" bestFit="1" customWidth="1"/>
    <col min="4" max="4" width="13.77734375" bestFit="1" customWidth="1"/>
    <col min="5" max="5" width="10.21875" bestFit="1" customWidth="1"/>
    <col min="6" max="6" width="12.88671875" bestFit="1" customWidth="1"/>
  </cols>
  <sheetData>
    <row r="1" spans="1:7">
      <c r="A1" s="29"/>
      <c r="B1" s="29"/>
      <c r="C1" s="29"/>
    </row>
    <row r="2" spans="1:7">
      <c r="A2" t="s">
        <v>1</v>
      </c>
      <c r="B2" t="s">
        <v>20</v>
      </c>
      <c r="C2" t="s">
        <v>2</v>
      </c>
      <c r="D2" t="s">
        <v>3</v>
      </c>
      <c r="E2" t="s">
        <v>4</v>
      </c>
      <c r="F2" t="s">
        <v>28</v>
      </c>
      <c r="G2" t="s">
        <v>29</v>
      </c>
    </row>
    <row r="3" spans="1:7">
      <c r="A3" t="s">
        <v>8</v>
      </c>
      <c r="B3" s="1">
        <v>6.3500000000000001E-2</v>
      </c>
      <c r="C3" s="3">
        <f>-PV(B3,D3,E3*100,100)</f>
        <v>95.909732016925261</v>
      </c>
      <c r="D3">
        <v>1</v>
      </c>
      <c r="E3" s="11">
        <v>0.02</v>
      </c>
      <c r="F3" cm="1">
        <f t="array" ref="F3:F14">MMULT(MINVERSE(C22:N33),C3:C14)</f>
        <v>0.94029149036201232</v>
      </c>
      <c r="G3" s="1">
        <f>-LN(F3)/D3</f>
        <v>6.1565355658154727E-2</v>
      </c>
    </row>
    <row r="4" spans="1:7">
      <c r="A4" t="s">
        <v>9</v>
      </c>
      <c r="B4" s="1">
        <v>6.2199999999999998E-2</v>
      </c>
      <c r="C4" s="3">
        <f t="shared" ref="C4:C14" si="0">-PV(B4,D4,E4*100,100)</f>
        <v>93.200748147932543</v>
      </c>
      <c r="D4">
        <v>2</v>
      </c>
      <c r="E4" s="11">
        <v>2.5000000000000001E-2</v>
      </c>
      <c r="F4">
        <v>0.88634165289782951</v>
      </c>
      <c r="G4" s="1">
        <f t="shared" ref="G4:G14" si="1">-LN(F4)/D4</f>
        <v>6.0326394977522464E-2</v>
      </c>
    </row>
    <row r="5" spans="1:7">
      <c r="A5" t="s">
        <v>10</v>
      </c>
      <c r="B5" s="1">
        <v>6.2199999999999998E-2</v>
      </c>
      <c r="C5" s="3">
        <f t="shared" si="0"/>
        <v>91.427815933946889</v>
      </c>
      <c r="D5">
        <v>3</v>
      </c>
      <c r="E5" s="11">
        <v>0.03</v>
      </c>
      <c r="F5">
        <v>0.83444579130259566</v>
      </c>
      <c r="G5" s="1">
        <f t="shared" si="1"/>
        <v>6.032916582793358E-2</v>
      </c>
    </row>
    <row r="6" spans="1:7">
      <c r="A6" t="s">
        <v>11</v>
      </c>
      <c r="B6" s="1">
        <v>6.2399999999999997E-2</v>
      </c>
      <c r="C6" s="3">
        <f t="shared" si="0"/>
        <v>90.557556348670161</v>
      </c>
      <c r="D6">
        <v>4</v>
      </c>
      <c r="E6" s="11">
        <v>3.5000000000000003E-2</v>
      </c>
      <c r="F6">
        <v>0.78496405872175501</v>
      </c>
      <c r="G6" s="1">
        <f t="shared" si="1"/>
        <v>6.0529336828931211E-2</v>
      </c>
    </row>
    <row r="7" spans="1:7">
      <c r="A7" t="s">
        <v>12</v>
      </c>
      <c r="B7" s="1">
        <v>6.2799999999999995E-2</v>
      </c>
      <c r="C7" s="3">
        <f t="shared" si="0"/>
        <v>90.468527401506407</v>
      </c>
      <c r="D7">
        <v>5</v>
      </c>
      <c r="E7" s="11">
        <v>0.04</v>
      </c>
      <c r="F7">
        <v>0.73734957142663116</v>
      </c>
      <c r="G7" s="1">
        <f t="shared" si="1"/>
        <v>6.093863650400113E-2</v>
      </c>
    </row>
    <row r="8" spans="1:7">
      <c r="A8" t="s">
        <v>19</v>
      </c>
      <c r="B8" s="1">
        <v>6.3200000000000006E-2</v>
      </c>
      <c r="C8" s="3">
        <f t="shared" si="0"/>
        <v>91.139747097039702</v>
      </c>
      <c r="D8">
        <v>6</v>
      </c>
      <c r="E8" s="11">
        <v>4.4999999999999998E-2</v>
      </c>
      <c r="F8">
        <v>0.69200459862048791</v>
      </c>
      <c r="G8" s="1">
        <f t="shared" si="1"/>
        <v>6.1360446330203128E-2</v>
      </c>
    </row>
    <row r="9" spans="1:7">
      <c r="A9" t="s">
        <v>13</v>
      </c>
      <c r="B9" s="1">
        <v>6.3700000000000007E-2</v>
      </c>
      <c r="C9" s="3">
        <f t="shared" si="0"/>
        <v>92.45170141669638</v>
      </c>
      <c r="D9">
        <v>7</v>
      </c>
      <c r="E9" s="11">
        <v>0.05</v>
      </c>
      <c r="F9">
        <v>0.64833062476228409</v>
      </c>
      <c r="G9" s="1">
        <f t="shared" si="1"/>
        <v>6.1907784192996543E-2</v>
      </c>
    </row>
    <row r="10" spans="1:7">
      <c r="A10" t="s">
        <v>14</v>
      </c>
      <c r="B10" s="1">
        <v>6.4100000000000004E-2</v>
      </c>
      <c r="C10" s="3">
        <f t="shared" si="0"/>
        <v>94.4396545275753</v>
      </c>
      <c r="D10">
        <v>8</v>
      </c>
      <c r="E10" s="11">
        <v>5.5E-2</v>
      </c>
      <c r="F10">
        <v>0.60719575064512354</v>
      </c>
      <c r="G10" s="1">
        <f t="shared" si="1"/>
        <v>6.2363006400498376E-2</v>
      </c>
    </row>
    <row r="11" spans="1:7">
      <c r="A11" t="s">
        <v>15</v>
      </c>
      <c r="B11" s="1">
        <v>6.4600000000000005E-2</v>
      </c>
      <c r="C11" s="3">
        <f t="shared" si="0"/>
        <v>96.932915450516589</v>
      </c>
      <c r="D11">
        <v>9</v>
      </c>
      <c r="E11" s="11">
        <v>0.06</v>
      </c>
      <c r="F11">
        <v>0.56742805866117241</v>
      </c>
      <c r="G11" s="1">
        <f t="shared" si="1"/>
        <v>6.2960145171269355E-2</v>
      </c>
    </row>
    <row r="12" spans="1:7">
      <c r="A12" t="s">
        <v>16</v>
      </c>
      <c r="B12" s="1">
        <v>6.5000000000000002E-2</v>
      </c>
      <c r="C12" s="3">
        <f t="shared" si="0"/>
        <v>100</v>
      </c>
      <c r="D12">
        <v>10</v>
      </c>
      <c r="E12" s="11">
        <v>6.5000000000000002E-2</v>
      </c>
      <c r="F12">
        <v>0.5301475550882695</v>
      </c>
      <c r="G12" s="1">
        <f t="shared" si="1"/>
        <v>6.3459990535675664E-2</v>
      </c>
    </row>
    <row r="13" spans="1:7">
      <c r="A13" t="s">
        <v>17</v>
      </c>
      <c r="B13" s="1">
        <v>6.54E-2</v>
      </c>
      <c r="C13" s="3">
        <f t="shared" si="0"/>
        <v>103.52982980016291</v>
      </c>
      <c r="D13">
        <v>11</v>
      </c>
      <c r="E13" s="11">
        <v>7.0000000000000007E-2</v>
      </c>
      <c r="F13">
        <v>0.49467603488547462</v>
      </c>
      <c r="G13" s="1">
        <f t="shared" si="1"/>
        <v>6.3986564150411471E-2</v>
      </c>
    </row>
    <row r="14" spans="1:7">
      <c r="A14" t="s">
        <v>18</v>
      </c>
      <c r="B14" s="1">
        <v>6.5799999999999997E-2</v>
      </c>
      <c r="C14" s="3">
        <f t="shared" si="0"/>
        <v>107.47367602391358</v>
      </c>
      <c r="D14">
        <v>12</v>
      </c>
      <c r="E14" s="11">
        <v>7.4999999999999997E-2</v>
      </c>
      <c r="F14">
        <v>0.46092894994057043</v>
      </c>
      <c r="G14" s="1">
        <f t="shared" si="1"/>
        <v>6.4542614122284334E-2</v>
      </c>
    </row>
    <row r="15" spans="1:7">
      <c r="B15" s="1"/>
      <c r="C15" s="3"/>
      <c r="E15" s="11"/>
    </row>
    <row r="16" spans="1:7">
      <c r="B16" s="1"/>
      <c r="C16" s="3"/>
      <c r="E16" s="11"/>
    </row>
    <row r="17" spans="1:14">
      <c r="B17" s="1"/>
      <c r="C17" s="3"/>
      <c r="E17" s="11"/>
    </row>
    <row r="18" spans="1:14">
      <c r="B18" s="1"/>
      <c r="C18" s="3"/>
      <c r="E18" s="11"/>
    </row>
    <row r="19" spans="1:14">
      <c r="B19" s="1"/>
      <c r="C19" s="3"/>
      <c r="E19" s="11"/>
    </row>
    <row r="20" spans="1:14">
      <c r="A20" s="10"/>
      <c r="E20" s="11"/>
    </row>
    <row r="21" spans="1:14">
      <c r="B21" s="12">
        <v>0</v>
      </c>
      <c r="C21" s="12">
        <v>1</v>
      </c>
      <c r="D21" s="12">
        <v>2</v>
      </c>
      <c r="E21" s="12">
        <v>3</v>
      </c>
      <c r="F21" s="12">
        <v>4</v>
      </c>
      <c r="G21" s="12">
        <v>5</v>
      </c>
      <c r="H21" s="12">
        <v>6</v>
      </c>
      <c r="I21" s="12">
        <v>7</v>
      </c>
      <c r="J21" s="12">
        <v>8</v>
      </c>
      <c r="K21" s="12">
        <v>9</v>
      </c>
      <c r="L21" s="12">
        <v>10</v>
      </c>
      <c r="M21" s="12">
        <v>11</v>
      </c>
      <c r="N21" s="12">
        <v>12</v>
      </c>
    </row>
    <row r="22" spans="1:14">
      <c r="A22" t="s">
        <v>8</v>
      </c>
      <c r="B22" s="3">
        <f>-C3</f>
        <v>-95.909732016925261</v>
      </c>
      <c r="C22" s="2">
        <f>IF($C$21&lt;D3,100*E3,IF($C$21=D3,100*(1+E3),0))</f>
        <v>102</v>
      </c>
      <c r="D22" s="2">
        <f>IF($D$21&lt;D3,100*E3,IF($D$21=D3,100*(1+E3),0))</f>
        <v>0</v>
      </c>
      <c r="E22" s="2">
        <f>IF($E$21&lt;D3,100*E3,IF($E$21=D3,100*(1+E3),0))</f>
        <v>0</v>
      </c>
      <c r="F22" s="2">
        <f>IF($F$21&lt;D3,100*E3,IF($F$21=D3,100*(1+E3),0))</f>
        <v>0</v>
      </c>
      <c r="G22" s="2">
        <f>IF($G$21&lt;D3,100*E3,IF($G$21=D3,100*(1+E3),0))</f>
        <v>0</v>
      </c>
      <c r="H22" s="2">
        <f>IF($H$21&lt;D3,100*E3,IF($H$21=D3,100*(1+E3),0))</f>
        <v>0</v>
      </c>
      <c r="I22" s="2">
        <f>IF($I$21&lt;D3,100*E3,IF($I$21=D3,100*(1+E3),0))</f>
        <v>0</v>
      </c>
      <c r="J22" s="2">
        <f>IF($J$21&lt;D3,100*E3,IF($J$21=D3,100*(1+E3),0))</f>
        <v>0</v>
      </c>
      <c r="K22" s="2">
        <f>IF($K$21&lt;D3,100*E3,IF($K$21=D3,100*(1+E3),0))</f>
        <v>0</v>
      </c>
      <c r="L22" s="2">
        <f>IF($L$21&lt;D3,100*E3,IF($L$21=D3,100*(1+E3),0))</f>
        <v>0</v>
      </c>
      <c r="M22" s="2">
        <f>IF($M$21&lt;D3,100*E3,IF($M$21=D3,100*(1+E3),0))</f>
        <v>0</v>
      </c>
      <c r="N22" s="2">
        <f>IF($N$21&lt;D3,100*E3,IF($N$21=D3,100*(1+E3),0))</f>
        <v>0</v>
      </c>
    </row>
    <row r="23" spans="1:14">
      <c r="A23" t="s">
        <v>9</v>
      </c>
      <c r="B23" s="3">
        <f t="shared" ref="B23:B33" si="2">-C4</f>
        <v>-93.200748147932543</v>
      </c>
      <c r="C23" s="2">
        <f t="shared" ref="C23:C33" si="3">IF($C$21&lt;D4,100*E4,IF($C$21=D4,100*(1+E4),0))</f>
        <v>2.5</v>
      </c>
      <c r="D23" s="2">
        <f t="shared" ref="D23:D33" si="4">IF($D$21&lt;D4,100*E4,IF($D$21=D4,100*(1+E4),0))</f>
        <v>102.49999999999999</v>
      </c>
      <c r="E23" s="2">
        <f t="shared" ref="E23:E33" si="5">IF($E$21&lt;D4,100*E4,IF($E$21=D4,100*(1+E4),0))</f>
        <v>0</v>
      </c>
      <c r="F23" s="2">
        <f t="shared" ref="F23:F33" si="6">IF($F$21&lt;D4,100*E4,IF($F$21=D4,100*(1+E4),0))</f>
        <v>0</v>
      </c>
      <c r="G23" s="2">
        <f t="shared" ref="G23:G33" si="7">IF($G$21&lt;D4,100*E4,IF($G$21=D4,100*(1+E4),0))</f>
        <v>0</v>
      </c>
      <c r="H23" s="2">
        <f t="shared" ref="H23:H33" si="8">IF($H$21&lt;D4,100*E4,IF($H$21=D4,100*(1+E4),0))</f>
        <v>0</v>
      </c>
      <c r="I23" s="2">
        <f t="shared" ref="I23:I33" si="9">IF($I$21&lt;D4,100*E4,IF($I$21=D4,100*(1+E4),0))</f>
        <v>0</v>
      </c>
      <c r="J23" s="2">
        <f t="shared" ref="J23:J33" si="10">IF($J$21&lt;D4,100*E4,IF($J$21=D4,100*(1+E4),0))</f>
        <v>0</v>
      </c>
      <c r="K23" s="2">
        <f t="shared" ref="K23:K33" si="11">IF($K$21&lt;D4,100*E4,IF($K$21=D4,100*(1+E4),0))</f>
        <v>0</v>
      </c>
      <c r="L23" s="2">
        <f t="shared" ref="L23:L33" si="12">IF($L$21&lt;D4,100*E4,IF($L$21=D4,100*(1+E4),0))</f>
        <v>0</v>
      </c>
      <c r="M23" s="2">
        <f t="shared" ref="M23:M33" si="13">IF($M$21&lt;D4,100*E4,IF($M$21=D4,100*(1+E4),0))</f>
        <v>0</v>
      </c>
      <c r="N23" s="2">
        <f t="shared" ref="N23:N33" si="14">IF($N$21&lt;D4,100*E4,IF($N$21=D4,100*(1+E4),0))</f>
        <v>0</v>
      </c>
    </row>
    <row r="24" spans="1:14">
      <c r="A24" t="s">
        <v>10</v>
      </c>
      <c r="B24" s="3">
        <f t="shared" si="2"/>
        <v>-91.427815933946889</v>
      </c>
      <c r="C24" s="2">
        <f t="shared" si="3"/>
        <v>3</v>
      </c>
      <c r="D24" s="2">
        <f t="shared" si="4"/>
        <v>3</v>
      </c>
      <c r="E24" s="2">
        <f t="shared" si="5"/>
        <v>103</v>
      </c>
      <c r="F24" s="2">
        <f t="shared" si="6"/>
        <v>0</v>
      </c>
      <c r="G24" s="2">
        <f t="shared" si="7"/>
        <v>0</v>
      </c>
      <c r="H24" s="2">
        <f t="shared" si="8"/>
        <v>0</v>
      </c>
      <c r="I24" s="2">
        <f t="shared" si="9"/>
        <v>0</v>
      </c>
      <c r="J24" s="2">
        <f t="shared" si="10"/>
        <v>0</v>
      </c>
      <c r="K24" s="2">
        <f t="shared" si="11"/>
        <v>0</v>
      </c>
      <c r="L24" s="2">
        <f t="shared" si="12"/>
        <v>0</v>
      </c>
      <c r="M24" s="2">
        <f t="shared" si="13"/>
        <v>0</v>
      </c>
      <c r="N24" s="2">
        <f t="shared" si="14"/>
        <v>0</v>
      </c>
    </row>
    <row r="25" spans="1:14">
      <c r="A25" t="s">
        <v>11</v>
      </c>
      <c r="B25" s="3">
        <f t="shared" si="2"/>
        <v>-90.557556348670161</v>
      </c>
      <c r="C25" s="2">
        <f t="shared" si="3"/>
        <v>3.5000000000000004</v>
      </c>
      <c r="D25" s="2">
        <f t="shared" si="4"/>
        <v>3.5000000000000004</v>
      </c>
      <c r="E25" s="2">
        <f t="shared" si="5"/>
        <v>3.5000000000000004</v>
      </c>
      <c r="F25" s="2">
        <f t="shared" si="6"/>
        <v>103.49999999999999</v>
      </c>
      <c r="G25" s="2">
        <f t="shared" si="7"/>
        <v>0</v>
      </c>
      <c r="H25" s="2">
        <f t="shared" si="8"/>
        <v>0</v>
      </c>
      <c r="I25" s="2">
        <f t="shared" si="9"/>
        <v>0</v>
      </c>
      <c r="J25" s="2">
        <f t="shared" si="10"/>
        <v>0</v>
      </c>
      <c r="K25" s="2">
        <f t="shared" si="11"/>
        <v>0</v>
      </c>
      <c r="L25" s="2">
        <f t="shared" si="12"/>
        <v>0</v>
      </c>
      <c r="M25" s="2">
        <f t="shared" si="13"/>
        <v>0</v>
      </c>
      <c r="N25" s="2">
        <f t="shared" si="14"/>
        <v>0</v>
      </c>
    </row>
    <row r="26" spans="1:14">
      <c r="A26" t="s">
        <v>12</v>
      </c>
      <c r="B26" s="3">
        <f t="shared" si="2"/>
        <v>-90.468527401506407</v>
      </c>
      <c r="C26" s="2">
        <f t="shared" si="3"/>
        <v>4</v>
      </c>
      <c r="D26" s="2">
        <f t="shared" si="4"/>
        <v>4</v>
      </c>
      <c r="E26" s="2">
        <f t="shared" si="5"/>
        <v>4</v>
      </c>
      <c r="F26" s="2">
        <f t="shared" si="6"/>
        <v>4</v>
      </c>
      <c r="G26" s="2">
        <f t="shared" si="7"/>
        <v>104</v>
      </c>
      <c r="H26" s="2">
        <f t="shared" si="8"/>
        <v>0</v>
      </c>
      <c r="I26" s="2">
        <f t="shared" si="9"/>
        <v>0</v>
      </c>
      <c r="J26" s="2">
        <f t="shared" si="10"/>
        <v>0</v>
      </c>
      <c r="K26" s="2">
        <f t="shared" si="11"/>
        <v>0</v>
      </c>
      <c r="L26" s="2">
        <f t="shared" si="12"/>
        <v>0</v>
      </c>
      <c r="M26" s="2">
        <f t="shared" si="13"/>
        <v>0</v>
      </c>
      <c r="N26" s="2">
        <f t="shared" si="14"/>
        <v>0</v>
      </c>
    </row>
    <row r="27" spans="1:14">
      <c r="A27" t="s">
        <v>19</v>
      </c>
      <c r="B27" s="3">
        <f t="shared" si="2"/>
        <v>-91.139747097039702</v>
      </c>
      <c r="C27" s="2">
        <f t="shared" si="3"/>
        <v>4.5</v>
      </c>
      <c r="D27" s="2">
        <f t="shared" si="4"/>
        <v>4.5</v>
      </c>
      <c r="E27" s="2">
        <f t="shared" si="5"/>
        <v>4.5</v>
      </c>
      <c r="F27" s="2">
        <f t="shared" si="6"/>
        <v>4.5</v>
      </c>
      <c r="G27" s="2">
        <f t="shared" si="7"/>
        <v>4.5</v>
      </c>
      <c r="H27" s="2">
        <f t="shared" si="8"/>
        <v>104.5</v>
      </c>
      <c r="I27" s="2">
        <f t="shared" si="9"/>
        <v>0</v>
      </c>
      <c r="J27" s="2">
        <f t="shared" si="10"/>
        <v>0</v>
      </c>
      <c r="K27" s="2">
        <f t="shared" si="11"/>
        <v>0</v>
      </c>
      <c r="L27" s="2">
        <f t="shared" si="12"/>
        <v>0</v>
      </c>
      <c r="M27" s="2">
        <f t="shared" si="13"/>
        <v>0</v>
      </c>
      <c r="N27" s="2">
        <f t="shared" si="14"/>
        <v>0</v>
      </c>
    </row>
    <row r="28" spans="1:14">
      <c r="A28" t="s">
        <v>13</v>
      </c>
      <c r="B28" s="3">
        <f t="shared" si="2"/>
        <v>-92.45170141669638</v>
      </c>
      <c r="C28" s="2">
        <f t="shared" si="3"/>
        <v>5</v>
      </c>
      <c r="D28" s="2">
        <f t="shared" si="4"/>
        <v>5</v>
      </c>
      <c r="E28" s="2">
        <f t="shared" si="5"/>
        <v>5</v>
      </c>
      <c r="F28" s="2">
        <f t="shared" si="6"/>
        <v>5</v>
      </c>
      <c r="G28" s="2">
        <f t="shared" si="7"/>
        <v>5</v>
      </c>
      <c r="H28" s="2">
        <f t="shared" si="8"/>
        <v>5</v>
      </c>
      <c r="I28" s="2">
        <f t="shared" si="9"/>
        <v>105</v>
      </c>
      <c r="J28" s="2">
        <f t="shared" si="10"/>
        <v>0</v>
      </c>
      <c r="K28" s="2">
        <f t="shared" si="11"/>
        <v>0</v>
      </c>
      <c r="L28" s="2">
        <f t="shared" si="12"/>
        <v>0</v>
      </c>
      <c r="M28" s="2">
        <f t="shared" si="13"/>
        <v>0</v>
      </c>
      <c r="N28" s="2">
        <f t="shared" si="14"/>
        <v>0</v>
      </c>
    </row>
    <row r="29" spans="1:14">
      <c r="A29" t="s">
        <v>14</v>
      </c>
      <c r="B29" s="3">
        <f t="shared" si="2"/>
        <v>-94.4396545275753</v>
      </c>
      <c r="C29" s="2">
        <f t="shared" si="3"/>
        <v>5.5</v>
      </c>
      <c r="D29" s="2">
        <f t="shared" si="4"/>
        <v>5.5</v>
      </c>
      <c r="E29" s="2">
        <f t="shared" si="5"/>
        <v>5.5</v>
      </c>
      <c r="F29" s="2">
        <f t="shared" si="6"/>
        <v>5.5</v>
      </c>
      <c r="G29" s="2">
        <f t="shared" si="7"/>
        <v>5.5</v>
      </c>
      <c r="H29" s="2">
        <f t="shared" si="8"/>
        <v>5.5</v>
      </c>
      <c r="I29" s="2">
        <f t="shared" si="9"/>
        <v>5.5</v>
      </c>
      <c r="J29" s="2">
        <f t="shared" si="10"/>
        <v>105.5</v>
      </c>
      <c r="K29" s="2">
        <f t="shared" si="11"/>
        <v>0</v>
      </c>
      <c r="L29" s="2">
        <f t="shared" si="12"/>
        <v>0</v>
      </c>
      <c r="M29" s="2">
        <f t="shared" si="13"/>
        <v>0</v>
      </c>
      <c r="N29" s="2">
        <f t="shared" si="14"/>
        <v>0</v>
      </c>
    </row>
    <row r="30" spans="1:14">
      <c r="A30" t="s">
        <v>15</v>
      </c>
      <c r="B30" s="3">
        <f t="shared" si="2"/>
        <v>-96.932915450516589</v>
      </c>
      <c r="C30" s="2">
        <f t="shared" si="3"/>
        <v>6</v>
      </c>
      <c r="D30" s="2">
        <f t="shared" si="4"/>
        <v>6</v>
      </c>
      <c r="E30" s="2">
        <f t="shared" si="5"/>
        <v>6</v>
      </c>
      <c r="F30" s="2">
        <f t="shared" si="6"/>
        <v>6</v>
      </c>
      <c r="G30" s="2">
        <f t="shared" si="7"/>
        <v>6</v>
      </c>
      <c r="H30" s="2">
        <f t="shared" si="8"/>
        <v>6</v>
      </c>
      <c r="I30" s="2">
        <f t="shared" si="9"/>
        <v>6</v>
      </c>
      <c r="J30" s="2">
        <f t="shared" si="10"/>
        <v>6</v>
      </c>
      <c r="K30" s="2">
        <f t="shared" si="11"/>
        <v>106</v>
      </c>
      <c r="L30" s="2">
        <f t="shared" si="12"/>
        <v>0</v>
      </c>
      <c r="M30" s="2">
        <f t="shared" si="13"/>
        <v>0</v>
      </c>
      <c r="N30" s="2">
        <f t="shared" si="14"/>
        <v>0</v>
      </c>
    </row>
    <row r="31" spans="1:14">
      <c r="A31" t="s">
        <v>16</v>
      </c>
      <c r="B31" s="3">
        <f t="shared" si="2"/>
        <v>-100</v>
      </c>
      <c r="C31" s="2">
        <f t="shared" si="3"/>
        <v>6.5</v>
      </c>
      <c r="D31" s="2">
        <f t="shared" si="4"/>
        <v>6.5</v>
      </c>
      <c r="E31" s="2">
        <f t="shared" si="5"/>
        <v>6.5</v>
      </c>
      <c r="F31" s="2">
        <f t="shared" si="6"/>
        <v>6.5</v>
      </c>
      <c r="G31" s="2">
        <f t="shared" si="7"/>
        <v>6.5</v>
      </c>
      <c r="H31" s="2">
        <f t="shared" si="8"/>
        <v>6.5</v>
      </c>
      <c r="I31" s="2">
        <f t="shared" si="9"/>
        <v>6.5</v>
      </c>
      <c r="J31" s="2">
        <f t="shared" si="10"/>
        <v>6.5</v>
      </c>
      <c r="K31" s="2">
        <f t="shared" si="11"/>
        <v>6.5</v>
      </c>
      <c r="L31" s="2">
        <f t="shared" si="12"/>
        <v>106.5</v>
      </c>
      <c r="M31" s="2">
        <f t="shared" si="13"/>
        <v>0</v>
      </c>
      <c r="N31" s="2">
        <f t="shared" si="14"/>
        <v>0</v>
      </c>
    </row>
    <row r="32" spans="1:14">
      <c r="A32" t="s">
        <v>17</v>
      </c>
      <c r="B32" s="3">
        <f t="shared" si="2"/>
        <v>-103.52982980016291</v>
      </c>
      <c r="C32" s="2">
        <f t="shared" si="3"/>
        <v>7.0000000000000009</v>
      </c>
      <c r="D32" s="2">
        <f t="shared" si="4"/>
        <v>7.0000000000000009</v>
      </c>
      <c r="E32" s="2">
        <f t="shared" si="5"/>
        <v>7.0000000000000009</v>
      </c>
      <c r="F32" s="2">
        <f t="shared" si="6"/>
        <v>7.0000000000000009</v>
      </c>
      <c r="G32" s="2">
        <f t="shared" si="7"/>
        <v>7.0000000000000009</v>
      </c>
      <c r="H32" s="2">
        <f t="shared" si="8"/>
        <v>7.0000000000000009</v>
      </c>
      <c r="I32" s="2">
        <f t="shared" si="9"/>
        <v>7.0000000000000009</v>
      </c>
      <c r="J32" s="2">
        <f t="shared" si="10"/>
        <v>7.0000000000000009</v>
      </c>
      <c r="K32" s="2">
        <f t="shared" si="11"/>
        <v>7.0000000000000009</v>
      </c>
      <c r="L32" s="2">
        <f t="shared" si="12"/>
        <v>7.0000000000000009</v>
      </c>
      <c r="M32" s="2">
        <f t="shared" si="13"/>
        <v>107</v>
      </c>
      <c r="N32" s="2">
        <f t="shared" si="14"/>
        <v>0</v>
      </c>
    </row>
    <row r="33" spans="1:14">
      <c r="A33" t="s">
        <v>18</v>
      </c>
      <c r="B33" s="3">
        <f t="shared" si="2"/>
        <v>-107.47367602391358</v>
      </c>
      <c r="C33" s="2">
        <f t="shared" si="3"/>
        <v>7.5</v>
      </c>
      <c r="D33" s="2">
        <f t="shared" si="4"/>
        <v>7.5</v>
      </c>
      <c r="E33" s="2">
        <f t="shared" si="5"/>
        <v>7.5</v>
      </c>
      <c r="F33" s="2">
        <f t="shared" si="6"/>
        <v>7.5</v>
      </c>
      <c r="G33" s="2">
        <f t="shared" si="7"/>
        <v>7.5</v>
      </c>
      <c r="H33" s="2">
        <f t="shared" si="8"/>
        <v>7.5</v>
      </c>
      <c r="I33" s="2">
        <f t="shared" si="9"/>
        <v>7.5</v>
      </c>
      <c r="J33" s="2">
        <f t="shared" si="10"/>
        <v>7.5</v>
      </c>
      <c r="K33" s="2">
        <f t="shared" si="11"/>
        <v>7.5</v>
      </c>
      <c r="L33" s="2">
        <f t="shared" si="12"/>
        <v>7.5</v>
      </c>
      <c r="M33" s="2">
        <f t="shared" si="13"/>
        <v>7.5</v>
      </c>
      <c r="N33" s="2">
        <f t="shared" si="14"/>
        <v>107.5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5F84B-6516-4B1F-9D25-4BAFB22FBFF7}">
  <sheetPr codeName="Sheet2"/>
  <dimension ref="A1:U33"/>
  <sheetViews>
    <sheetView topLeftCell="A14" workbookViewId="0">
      <selection activeCell="D28" sqref="D28"/>
    </sheetView>
  </sheetViews>
  <sheetFormatPr defaultRowHeight="13.2"/>
  <cols>
    <col min="1" max="1" width="6.44140625" bestFit="1" customWidth="1"/>
    <col min="2" max="3" width="14.44140625" bestFit="1" customWidth="1"/>
    <col min="4" max="4" width="10.21875" bestFit="1" customWidth="1"/>
    <col min="6" max="6" width="8" bestFit="1" customWidth="1"/>
  </cols>
  <sheetData>
    <row r="1" spans="1:21" ht="15.6">
      <c r="C1" s="30" t="s">
        <v>32</v>
      </c>
      <c r="D1" s="30"/>
      <c r="E1" s="30"/>
      <c r="F1" s="30"/>
    </row>
    <row r="2" spans="1:21">
      <c r="A2" t="s">
        <v>1</v>
      </c>
      <c r="B2" t="s">
        <v>2</v>
      </c>
      <c r="C2" t="s">
        <v>30</v>
      </c>
      <c r="D2" t="s">
        <v>4</v>
      </c>
      <c r="E2" t="s">
        <v>31</v>
      </c>
      <c r="I2" s="12">
        <v>0</v>
      </c>
      <c r="J2" s="12">
        <v>1</v>
      </c>
      <c r="K2" s="12">
        <v>2</v>
      </c>
      <c r="L2" s="12">
        <v>3</v>
      </c>
      <c r="M2" s="12">
        <v>4</v>
      </c>
      <c r="N2" s="12">
        <v>5</v>
      </c>
      <c r="O2" s="12">
        <v>6</v>
      </c>
      <c r="P2" s="12">
        <v>7</v>
      </c>
      <c r="Q2" s="12">
        <v>8</v>
      </c>
      <c r="R2" s="12">
        <v>9</v>
      </c>
      <c r="S2" s="12">
        <v>10</v>
      </c>
      <c r="T2" s="12">
        <v>11</v>
      </c>
      <c r="U2" s="12">
        <v>12</v>
      </c>
    </row>
    <row r="3" spans="1:21">
      <c r="A3" t="s">
        <v>8</v>
      </c>
      <c r="B3" s="3">
        <v>91.8966543034946</v>
      </c>
      <c r="C3">
        <v>1</v>
      </c>
      <c r="D3" s="1">
        <v>0.02</v>
      </c>
      <c r="E3" s="13">
        <f t="shared" ref="E3:E17" si="0">IRR(I3:U3)</f>
        <v>0.10994247585051853</v>
      </c>
      <c r="H3" t="str">
        <f>A3</f>
        <v>A</v>
      </c>
      <c r="I3" s="3">
        <f t="shared" ref="I3:I14" si="1">-B3</f>
        <v>-91.8966543034946</v>
      </c>
      <c r="J3" s="2">
        <f t="shared" ref="J3:J14" si="2">IF($J$2&lt;C3,100*D3,IF($J$2=C3,100*(1+D3),0))</f>
        <v>102</v>
      </c>
      <c r="K3" s="2">
        <f t="shared" ref="K3:K14" si="3">IF($K$2&lt;C3,100*D3,IF($K$2=C3,100*(1+D3),0))</f>
        <v>0</v>
      </c>
      <c r="L3" s="2">
        <f t="shared" ref="L3:L14" si="4">IF($L$2&lt;C3,100*D3,IF($L$2=C3,100*(1+D3),0))</f>
        <v>0</v>
      </c>
      <c r="M3" s="2">
        <f t="shared" ref="M3:M14" si="5">IF($M$2&lt;C3,100*D3,IF($M$2=C3,100*(1+D3),0))</f>
        <v>0</v>
      </c>
      <c r="N3" s="2">
        <f t="shared" ref="N3:N14" si="6">IF($N$2&lt;C3,100*D3,IF($N$2=C3,100*(1+D3),0))</f>
        <v>0</v>
      </c>
      <c r="O3" s="2">
        <f t="shared" ref="O3:O14" si="7">IF($O$2&lt;C3,100*D3,IF($O$2=C3,100*(1+D3),0))</f>
        <v>0</v>
      </c>
      <c r="P3" s="2">
        <f t="shared" ref="P3:P14" si="8">IF($P$2&lt;C3,100*D3,IF($P$2=C3,100*(1+D3),0))</f>
        <v>0</v>
      </c>
      <c r="Q3" s="2">
        <f t="shared" ref="Q3:Q14" si="9">IF($Q$2&lt;C3,100*D3,IF($Q$2=C3,100*(1+D3),0))</f>
        <v>0</v>
      </c>
      <c r="R3" s="2">
        <f t="shared" ref="R3:R14" si="10">IF($R$2&lt;C3,100*D3,IF($R$2=C3,100*(1+D3),0))</f>
        <v>0</v>
      </c>
      <c r="S3" s="2">
        <f t="shared" ref="S3:S14" si="11">IF($S$2&lt;C3,100*D3,IF($S$2=C3,100*(1+D3),0))</f>
        <v>0</v>
      </c>
      <c r="T3" s="2">
        <f t="shared" ref="T3:T14" si="12">IF($T$2&lt;C3,100*D3,IF($T$2=C3,100*(1+D3),0))</f>
        <v>0</v>
      </c>
      <c r="U3" s="2">
        <f t="shared" ref="U3:U14" si="13">IF($U$2&lt;C3,100*D3,IF($U$2=C3,100*(1+D3),0))</f>
        <v>0</v>
      </c>
    </row>
    <row r="4" spans="1:21">
      <c r="A4" t="str">
        <f>CHAR(CODE(A3)+1)</f>
        <v>B</v>
      </c>
      <c r="B4" s="3">
        <v>83.256393108606446</v>
      </c>
      <c r="C4">
        <v>2</v>
      </c>
      <c r="D4" s="1">
        <v>2.5000000000000001E-2</v>
      </c>
      <c r="E4" s="13">
        <f t="shared" si="0"/>
        <v>0.1246814263365188</v>
      </c>
      <c r="H4" t="str">
        <f t="shared" ref="H4:H14" si="14">A4</f>
        <v>B</v>
      </c>
      <c r="I4" s="3">
        <f t="shared" si="1"/>
        <v>-83.256393108606446</v>
      </c>
      <c r="J4" s="2">
        <f t="shared" si="2"/>
        <v>2.5</v>
      </c>
      <c r="K4" s="2">
        <f t="shared" si="3"/>
        <v>102.49999999999999</v>
      </c>
      <c r="L4" s="2">
        <f t="shared" si="4"/>
        <v>0</v>
      </c>
      <c r="M4" s="2">
        <f t="shared" si="5"/>
        <v>0</v>
      </c>
      <c r="N4" s="2">
        <f t="shared" si="6"/>
        <v>0</v>
      </c>
      <c r="O4" s="2">
        <f t="shared" si="7"/>
        <v>0</v>
      </c>
      <c r="P4" s="2">
        <f t="shared" si="8"/>
        <v>0</v>
      </c>
      <c r="Q4" s="2">
        <f t="shared" si="9"/>
        <v>0</v>
      </c>
      <c r="R4" s="2">
        <f t="shared" si="10"/>
        <v>0</v>
      </c>
      <c r="S4" s="2">
        <f t="shared" si="11"/>
        <v>0</v>
      </c>
      <c r="T4" s="2">
        <f t="shared" si="12"/>
        <v>0</v>
      </c>
      <c r="U4" s="2">
        <f t="shared" si="13"/>
        <v>0</v>
      </c>
    </row>
    <row r="5" spans="1:21">
      <c r="A5" t="str">
        <f>CHAR(CODE(A4)+1)</f>
        <v>C</v>
      </c>
      <c r="B5" s="3">
        <v>76</v>
      </c>
      <c r="C5">
        <v>3</v>
      </c>
      <c r="D5" s="1">
        <v>0.03</v>
      </c>
      <c r="E5" s="13">
        <f t="shared" si="0"/>
        <v>0.131988675954958</v>
      </c>
      <c r="H5" t="str">
        <f t="shared" si="14"/>
        <v>C</v>
      </c>
      <c r="I5" s="3">
        <f t="shared" si="1"/>
        <v>-76</v>
      </c>
      <c r="J5" s="2">
        <f t="shared" si="2"/>
        <v>3</v>
      </c>
      <c r="K5" s="2">
        <f t="shared" si="3"/>
        <v>3</v>
      </c>
      <c r="L5" s="2">
        <f t="shared" si="4"/>
        <v>103</v>
      </c>
      <c r="M5" s="2">
        <f t="shared" si="5"/>
        <v>0</v>
      </c>
      <c r="N5" s="2">
        <f t="shared" si="6"/>
        <v>0</v>
      </c>
      <c r="O5" s="2">
        <f t="shared" si="7"/>
        <v>0</v>
      </c>
      <c r="P5" s="2">
        <f t="shared" si="8"/>
        <v>0</v>
      </c>
      <c r="Q5" s="2">
        <f t="shared" si="9"/>
        <v>0</v>
      </c>
      <c r="R5" s="2">
        <f t="shared" si="10"/>
        <v>0</v>
      </c>
      <c r="S5" s="2">
        <f t="shared" si="11"/>
        <v>0</v>
      </c>
      <c r="T5" s="2">
        <f t="shared" si="12"/>
        <v>0</v>
      </c>
      <c r="U5" s="2">
        <f t="shared" si="13"/>
        <v>0</v>
      </c>
    </row>
    <row r="6" spans="1:21">
      <c r="A6" t="str">
        <f t="shared" ref="A6:A17" si="15">CHAR(CODE(A5)+1)</f>
        <v>D</v>
      </c>
      <c r="B6" s="3">
        <v>76.234710668594857</v>
      </c>
      <c r="C6">
        <v>3</v>
      </c>
      <c r="D6" s="1">
        <v>3.2000000000000001E-2</v>
      </c>
      <c r="E6" s="13">
        <f t="shared" si="0"/>
        <v>0.13319826148055447</v>
      </c>
      <c r="H6" t="str">
        <f t="shared" si="14"/>
        <v>D</v>
      </c>
      <c r="I6" s="3">
        <f t="shared" si="1"/>
        <v>-76.234710668594857</v>
      </c>
      <c r="J6" s="2">
        <f t="shared" si="2"/>
        <v>3.2</v>
      </c>
      <c r="K6" s="2">
        <f t="shared" si="3"/>
        <v>3.2</v>
      </c>
      <c r="L6" s="2">
        <f t="shared" si="4"/>
        <v>103.2</v>
      </c>
      <c r="M6" s="2">
        <f t="shared" si="5"/>
        <v>0</v>
      </c>
      <c r="N6" s="2">
        <f t="shared" si="6"/>
        <v>0</v>
      </c>
      <c r="O6" s="2">
        <f t="shared" si="7"/>
        <v>0</v>
      </c>
      <c r="P6" s="2">
        <f t="shared" si="8"/>
        <v>0</v>
      </c>
      <c r="Q6" s="2">
        <f t="shared" si="9"/>
        <v>0</v>
      </c>
      <c r="R6" s="2">
        <f t="shared" si="10"/>
        <v>0</v>
      </c>
      <c r="S6" s="2">
        <f t="shared" si="11"/>
        <v>0</v>
      </c>
      <c r="T6" s="2">
        <f t="shared" si="12"/>
        <v>0</v>
      </c>
      <c r="U6" s="2">
        <f t="shared" si="13"/>
        <v>0</v>
      </c>
    </row>
    <row r="7" spans="1:21">
      <c r="A7" t="str">
        <f t="shared" si="15"/>
        <v>E</v>
      </c>
      <c r="B7" s="3">
        <v>71.211040975180865</v>
      </c>
      <c r="C7">
        <v>4</v>
      </c>
      <c r="D7" s="1">
        <v>3.5000000000000003E-2</v>
      </c>
      <c r="E7" s="13">
        <f t="shared" si="0"/>
        <v>0.13223704499424627</v>
      </c>
      <c r="H7" t="str">
        <f t="shared" si="14"/>
        <v>E</v>
      </c>
      <c r="I7" s="3">
        <f t="shared" si="1"/>
        <v>-71.211040975180865</v>
      </c>
      <c r="J7" s="2">
        <f t="shared" si="2"/>
        <v>3.5000000000000004</v>
      </c>
      <c r="K7" s="2">
        <f t="shared" si="3"/>
        <v>3.5000000000000004</v>
      </c>
      <c r="L7" s="2">
        <f t="shared" si="4"/>
        <v>3.5000000000000004</v>
      </c>
      <c r="M7" s="2">
        <f t="shared" si="5"/>
        <v>103.49999999999999</v>
      </c>
      <c r="N7" s="2">
        <f t="shared" si="6"/>
        <v>0</v>
      </c>
      <c r="O7" s="2">
        <f t="shared" si="7"/>
        <v>0</v>
      </c>
      <c r="P7" s="2">
        <f t="shared" si="8"/>
        <v>0</v>
      </c>
      <c r="Q7" s="2">
        <f t="shared" si="9"/>
        <v>0</v>
      </c>
      <c r="R7" s="2">
        <f t="shared" si="10"/>
        <v>0</v>
      </c>
      <c r="S7" s="2">
        <f t="shared" si="11"/>
        <v>0</v>
      </c>
      <c r="T7" s="2">
        <f t="shared" si="12"/>
        <v>0</v>
      </c>
      <c r="U7" s="2">
        <f t="shared" si="13"/>
        <v>0</v>
      </c>
    </row>
    <row r="8" spans="1:21">
      <c r="A8" t="str">
        <f t="shared" si="15"/>
        <v>F</v>
      </c>
      <c r="B8" s="3">
        <v>67.967175923736889</v>
      </c>
      <c r="C8">
        <v>5</v>
      </c>
      <c r="D8" s="1">
        <v>0.04</v>
      </c>
      <c r="E8" s="13">
        <f t="shared" si="0"/>
        <v>0.13138106747245781</v>
      </c>
      <c r="H8" t="str">
        <f t="shared" si="14"/>
        <v>F</v>
      </c>
      <c r="I8" s="3">
        <f t="shared" si="1"/>
        <v>-67.967175923736889</v>
      </c>
      <c r="J8" s="2">
        <f t="shared" si="2"/>
        <v>4</v>
      </c>
      <c r="K8" s="2">
        <f t="shared" si="3"/>
        <v>4</v>
      </c>
      <c r="L8" s="2">
        <f t="shared" si="4"/>
        <v>4</v>
      </c>
      <c r="M8" s="2">
        <f t="shared" si="5"/>
        <v>4</v>
      </c>
      <c r="N8" s="2">
        <f t="shared" si="6"/>
        <v>104</v>
      </c>
      <c r="O8" s="2">
        <f t="shared" si="7"/>
        <v>0</v>
      </c>
      <c r="P8" s="2">
        <f t="shared" si="8"/>
        <v>0</v>
      </c>
      <c r="Q8" s="2">
        <f t="shared" si="9"/>
        <v>0</v>
      </c>
      <c r="R8" s="2">
        <f t="shared" si="10"/>
        <v>0</v>
      </c>
      <c r="S8" s="2">
        <f t="shared" si="11"/>
        <v>0</v>
      </c>
      <c r="T8" s="2">
        <f t="shared" si="12"/>
        <v>0</v>
      </c>
      <c r="U8" s="2">
        <f t="shared" si="13"/>
        <v>0</v>
      </c>
    </row>
    <row r="9" spans="1:21">
      <c r="A9" t="str">
        <f t="shared" si="15"/>
        <v>G</v>
      </c>
      <c r="B9" s="3">
        <v>66</v>
      </c>
      <c r="C9">
        <v>6</v>
      </c>
      <c r="D9" s="1">
        <v>4.4999999999999998E-2</v>
      </c>
      <c r="E9" s="13">
        <f t="shared" si="0"/>
        <v>0.13006826896266066</v>
      </c>
      <c r="H9" t="str">
        <f t="shared" si="14"/>
        <v>G</v>
      </c>
      <c r="I9" s="3">
        <f t="shared" si="1"/>
        <v>-66</v>
      </c>
      <c r="J9" s="2">
        <f t="shared" si="2"/>
        <v>4.5</v>
      </c>
      <c r="K9" s="2">
        <f t="shared" si="3"/>
        <v>4.5</v>
      </c>
      <c r="L9" s="2">
        <f t="shared" si="4"/>
        <v>4.5</v>
      </c>
      <c r="M9" s="2">
        <f t="shared" si="5"/>
        <v>4.5</v>
      </c>
      <c r="N9" s="2">
        <f t="shared" si="6"/>
        <v>4.5</v>
      </c>
      <c r="O9" s="2">
        <f t="shared" si="7"/>
        <v>104.5</v>
      </c>
      <c r="P9" s="2">
        <f t="shared" si="8"/>
        <v>0</v>
      </c>
      <c r="Q9" s="2">
        <f t="shared" si="9"/>
        <v>0</v>
      </c>
      <c r="R9" s="2">
        <f t="shared" si="10"/>
        <v>0</v>
      </c>
      <c r="S9" s="2">
        <f t="shared" si="11"/>
        <v>0</v>
      </c>
      <c r="T9" s="2">
        <f t="shared" si="12"/>
        <v>0</v>
      </c>
      <c r="U9" s="2">
        <f t="shared" si="13"/>
        <v>0</v>
      </c>
    </row>
    <row r="10" spans="1:21">
      <c r="A10" t="str">
        <f t="shared" si="15"/>
        <v>H</v>
      </c>
      <c r="B10" s="3">
        <v>66.162542795139743</v>
      </c>
      <c r="C10">
        <v>6</v>
      </c>
      <c r="D10" s="1">
        <v>4.2000000000000003E-2</v>
      </c>
      <c r="E10" s="13">
        <f t="shared" si="0"/>
        <v>0.12561418759006848</v>
      </c>
      <c r="H10" t="str">
        <f t="shared" si="14"/>
        <v>H</v>
      </c>
      <c r="I10" s="3">
        <f t="shared" si="1"/>
        <v>-66.162542795139743</v>
      </c>
      <c r="J10" s="2">
        <f t="shared" si="2"/>
        <v>4.2</v>
      </c>
      <c r="K10" s="2">
        <f t="shared" si="3"/>
        <v>4.2</v>
      </c>
      <c r="L10" s="2">
        <f t="shared" si="4"/>
        <v>4.2</v>
      </c>
      <c r="M10" s="2">
        <f t="shared" si="5"/>
        <v>4.2</v>
      </c>
      <c r="N10" s="2">
        <f t="shared" si="6"/>
        <v>4.2</v>
      </c>
      <c r="O10" s="2">
        <f t="shared" si="7"/>
        <v>104.2</v>
      </c>
      <c r="P10" s="2">
        <f t="shared" si="8"/>
        <v>0</v>
      </c>
      <c r="Q10" s="2">
        <f t="shared" si="9"/>
        <v>0</v>
      </c>
      <c r="R10" s="2">
        <f t="shared" si="10"/>
        <v>0</v>
      </c>
      <c r="S10" s="2">
        <f t="shared" si="11"/>
        <v>0</v>
      </c>
      <c r="T10" s="2">
        <f t="shared" si="12"/>
        <v>0</v>
      </c>
      <c r="U10" s="2">
        <f t="shared" si="13"/>
        <v>0</v>
      </c>
    </row>
    <row r="11" spans="1:21">
      <c r="A11" t="str">
        <f t="shared" si="15"/>
        <v>I</v>
      </c>
      <c r="B11" s="3">
        <v>65.488149443261577</v>
      </c>
      <c r="C11">
        <v>7</v>
      </c>
      <c r="D11" s="1">
        <v>0.05</v>
      </c>
      <c r="E11" s="13">
        <f t="shared" si="0"/>
        <v>0.12740601839311783</v>
      </c>
      <c r="H11" t="str">
        <f t="shared" si="14"/>
        <v>I</v>
      </c>
      <c r="I11" s="3">
        <f t="shared" si="1"/>
        <v>-65.488149443261577</v>
      </c>
      <c r="J11" s="2">
        <f t="shared" si="2"/>
        <v>5</v>
      </c>
      <c r="K11" s="2">
        <f t="shared" si="3"/>
        <v>5</v>
      </c>
      <c r="L11" s="2">
        <f t="shared" si="4"/>
        <v>5</v>
      </c>
      <c r="M11" s="2">
        <f t="shared" si="5"/>
        <v>5</v>
      </c>
      <c r="N11" s="2">
        <f t="shared" si="6"/>
        <v>5</v>
      </c>
      <c r="O11" s="2">
        <f t="shared" si="7"/>
        <v>5</v>
      </c>
      <c r="P11" s="2">
        <f t="shared" si="8"/>
        <v>105</v>
      </c>
      <c r="Q11" s="2">
        <f t="shared" si="9"/>
        <v>0</v>
      </c>
      <c r="R11" s="2">
        <f t="shared" si="10"/>
        <v>0</v>
      </c>
      <c r="S11" s="2">
        <f t="shared" si="11"/>
        <v>0</v>
      </c>
      <c r="T11" s="2">
        <f t="shared" si="12"/>
        <v>0</v>
      </c>
      <c r="U11" s="2">
        <f t="shared" si="13"/>
        <v>0</v>
      </c>
    </row>
    <row r="12" spans="1:21">
      <c r="A12" t="str">
        <f t="shared" si="15"/>
        <v>J</v>
      </c>
      <c r="B12" s="3">
        <v>65.700273244672118</v>
      </c>
      <c r="C12">
        <v>8</v>
      </c>
      <c r="D12" s="1">
        <v>5.5E-2</v>
      </c>
      <c r="E12" s="13">
        <f t="shared" si="0"/>
        <v>0.12533935629746384</v>
      </c>
      <c r="H12" t="str">
        <f t="shared" si="14"/>
        <v>J</v>
      </c>
      <c r="I12" s="3">
        <f t="shared" si="1"/>
        <v>-65.700273244672118</v>
      </c>
      <c r="J12" s="2">
        <f t="shared" si="2"/>
        <v>5.5</v>
      </c>
      <c r="K12" s="2">
        <f t="shared" si="3"/>
        <v>5.5</v>
      </c>
      <c r="L12" s="2">
        <f t="shared" si="4"/>
        <v>5.5</v>
      </c>
      <c r="M12" s="2">
        <f t="shared" si="5"/>
        <v>5.5</v>
      </c>
      <c r="N12" s="2">
        <f t="shared" si="6"/>
        <v>5.5</v>
      </c>
      <c r="O12" s="2">
        <f t="shared" si="7"/>
        <v>5.5</v>
      </c>
      <c r="P12" s="2">
        <f t="shared" si="8"/>
        <v>5.5</v>
      </c>
      <c r="Q12" s="2">
        <f t="shared" si="9"/>
        <v>105.5</v>
      </c>
      <c r="R12" s="2">
        <f t="shared" si="10"/>
        <v>0</v>
      </c>
      <c r="S12" s="2">
        <f t="shared" si="11"/>
        <v>0</v>
      </c>
      <c r="T12" s="2">
        <f t="shared" si="12"/>
        <v>0</v>
      </c>
      <c r="U12" s="2">
        <f t="shared" si="13"/>
        <v>0</v>
      </c>
    </row>
    <row r="13" spans="1:21">
      <c r="A13" t="str">
        <f t="shared" si="15"/>
        <v>K</v>
      </c>
      <c r="B13" s="3">
        <v>64</v>
      </c>
      <c r="C13">
        <v>9</v>
      </c>
      <c r="D13" s="1">
        <v>5.8000000000000003E-2</v>
      </c>
      <c r="E13" s="13">
        <f t="shared" si="0"/>
        <v>0.12750265110874159</v>
      </c>
      <c r="H13" t="str">
        <f t="shared" si="14"/>
        <v>K</v>
      </c>
      <c r="I13" s="3">
        <f t="shared" si="1"/>
        <v>-64</v>
      </c>
      <c r="J13" s="2">
        <f t="shared" si="2"/>
        <v>5.8000000000000007</v>
      </c>
      <c r="K13" s="2">
        <f t="shared" si="3"/>
        <v>5.8000000000000007</v>
      </c>
      <c r="L13" s="2">
        <f t="shared" si="4"/>
        <v>5.8000000000000007</v>
      </c>
      <c r="M13" s="2">
        <f t="shared" si="5"/>
        <v>5.8000000000000007</v>
      </c>
      <c r="N13" s="2">
        <f t="shared" si="6"/>
        <v>5.8000000000000007</v>
      </c>
      <c r="O13" s="2">
        <f t="shared" si="7"/>
        <v>5.8000000000000007</v>
      </c>
      <c r="P13" s="2">
        <f t="shared" si="8"/>
        <v>5.8000000000000007</v>
      </c>
      <c r="Q13" s="2">
        <f t="shared" si="9"/>
        <v>5.8000000000000007</v>
      </c>
      <c r="R13" s="2">
        <f t="shared" si="10"/>
        <v>105.80000000000001</v>
      </c>
      <c r="S13" s="2">
        <f t="shared" si="11"/>
        <v>0</v>
      </c>
      <c r="T13" s="2">
        <f t="shared" si="12"/>
        <v>0</v>
      </c>
      <c r="U13" s="2">
        <f t="shared" si="13"/>
        <v>0</v>
      </c>
    </row>
    <row r="14" spans="1:21">
      <c r="A14" t="str">
        <f t="shared" si="15"/>
        <v>L</v>
      </c>
      <c r="B14" s="3">
        <v>66.615832227205246</v>
      </c>
      <c r="C14">
        <v>9</v>
      </c>
      <c r="D14" s="1">
        <v>0.06</v>
      </c>
      <c r="E14" s="13">
        <f t="shared" si="0"/>
        <v>0.12348806456461592</v>
      </c>
      <c r="H14" t="str">
        <f t="shared" si="14"/>
        <v>L</v>
      </c>
      <c r="I14" s="3">
        <f t="shared" si="1"/>
        <v>-66.615832227205246</v>
      </c>
      <c r="J14" s="2">
        <f t="shared" si="2"/>
        <v>6</v>
      </c>
      <c r="K14" s="2">
        <f t="shared" si="3"/>
        <v>6</v>
      </c>
      <c r="L14" s="2">
        <f t="shared" si="4"/>
        <v>6</v>
      </c>
      <c r="M14" s="2">
        <f t="shared" si="5"/>
        <v>6</v>
      </c>
      <c r="N14" s="2">
        <f t="shared" si="6"/>
        <v>6</v>
      </c>
      <c r="O14" s="2">
        <f t="shared" si="7"/>
        <v>6</v>
      </c>
      <c r="P14" s="2">
        <f t="shared" si="8"/>
        <v>6</v>
      </c>
      <c r="Q14" s="2">
        <f t="shared" si="9"/>
        <v>6</v>
      </c>
      <c r="R14" s="2">
        <f t="shared" si="10"/>
        <v>106</v>
      </c>
      <c r="S14" s="2">
        <f t="shared" si="11"/>
        <v>0</v>
      </c>
      <c r="T14" s="2">
        <f t="shared" si="12"/>
        <v>0</v>
      </c>
      <c r="U14" s="2">
        <f t="shared" si="13"/>
        <v>0</v>
      </c>
    </row>
    <row r="15" spans="1:21">
      <c r="A15" t="str">
        <f t="shared" si="15"/>
        <v>M</v>
      </c>
      <c r="B15" s="4">
        <v>68.098932999726514</v>
      </c>
      <c r="C15">
        <v>10</v>
      </c>
      <c r="D15" s="1">
        <v>6.5000000000000002E-2</v>
      </c>
      <c r="E15" s="13">
        <f t="shared" si="0"/>
        <v>0.12189955738347913</v>
      </c>
      <c r="H15" t="str">
        <f>A15</f>
        <v>M</v>
      </c>
      <c r="I15" s="3">
        <f t="shared" ref="I15:I17" si="16">-B15</f>
        <v>-68.098932999726514</v>
      </c>
      <c r="J15" s="2">
        <f t="shared" ref="J15:J17" si="17">IF($J$2&lt;C15,100*D15,IF($J$2=C15,100*(1+D15),0))</f>
        <v>6.5</v>
      </c>
      <c r="K15" s="2">
        <f t="shared" ref="K15:K17" si="18">IF($K$2&lt;C15,100*D15,IF($K$2=C15,100*(1+D15),0))</f>
        <v>6.5</v>
      </c>
      <c r="L15" s="2">
        <f t="shared" ref="L15:L17" si="19">IF($L$2&lt;C15,100*D15,IF($L$2=C15,100*(1+D15),0))</f>
        <v>6.5</v>
      </c>
      <c r="M15" s="2">
        <f t="shared" ref="M15:M17" si="20">IF($M$2&lt;C15,100*D15,IF($M$2=C15,100*(1+D15),0))</f>
        <v>6.5</v>
      </c>
      <c r="N15" s="2">
        <f t="shared" ref="N15:N17" si="21">IF($N$2&lt;C15,100*D15,IF($N$2=C15,100*(1+D15),0))</f>
        <v>6.5</v>
      </c>
      <c r="O15" s="2">
        <f t="shared" ref="O15:O17" si="22">IF($O$2&lt;C15,100*D15,IF($O$2=C15,100*(1+D15),0))</f>
        <v>6.5</v>
      </c>
      <c r="P15" s="2">
        <f t="shared" ref="P15:P17" si="23">IF($P$2&lt;C15,100*D15,IF($P$2=C15,100*(1+D15),0))</f>
        <v>6.5</v>
      </c>
      <c r="Q15" s="2">
        <f t="shared" ref="Q15:Q17" si="24">IF($Q$2&lt;C15,100*D15,IF($Q$2=C15,100*(1+D15),0))</f>
        <v>6.5</v>
      </c>
      <c r="R15" s="2">
        <f t="shared" ref="R15:R17" si="25">IF($R$2&lt;C15,100*D15,IF($R$2=C15,100*(1+D15),0))</f>
        <v>6.5</v>
      </c>
      <c r="S15" s="2">
        <f t="shared" ref="S15:S17" si="26">IF($S$2&lt;C15,100*D15,IF($S$2=C15,100*(1+D15),0))</f>
        <v>106.5</v>
      </c>
      <c r="T15" s="2">
        <f t="shared" ref="T15:T17" si="27">IF($T$2&lt;C15,100*D15,IF($T$2=C15,100*(1+D15),0))</f>
        <v>0</v>
      </c>
      <c r="U15" s="2">
        <f t="shared" ref="U15:U17" si="28">IF($U$2&lt;C15,100*D15,IF($U$2=C15,100*(1+D15),0))</f>
        <v>0</v>
      </c>
    </row>
    <row r="16" spans="1:21">
      <c r="A16" t="str">
        <f t="shared" si="15"/>
        <v>N</v>
      </c>
      <c r="B16" s="4">
        <v>70.047989255057814</v>
      </c>
      <c r="C16">
        <v>11</v>
      </c>
      <c r="D16" s="1">
        <v>7.0000000000000007E-2</v>
      </c>
      <c r="E16" s="13">
        <f t="shared" si="0"/>
        <v>0.12056940511318381</v>
      </c>
      <c r="H16" t="str">
        <f>A16</f>
        <v>N</v>
      </c>
      <c r="I16" s="3">
        <f t="shared" si="16"/>
        <v>-70.047989255057814</v>
      </c>
      <c r="J16" s="2">
        <f t="shared" si="17"/>
        <v>7.0000000000000009</v>
      </c>
      <c r="K16" s="2">
        <f t="shared" si="18"/>
        <v>7.0000000000000009</v>
      </c>
      <c r="L16" s="2">
        <f t="shared" si="19"/>
        <v>7.0000000000000009</v>
      </c>
      <c r="M16" s="2">
        <f t="shared" si="20"/>
        <v>7.0000000000000009</v>
      </c>
      <c r="N16" s="2">
        <f t="shared" si="21"/>
        <v>7.0000000000000009</v>
      </c>
      <c r="O16" s="2">
        <f t="shared" si="22"/>
        <v>7.0000000000000009</v>
      </c>
      <c r="P16" s="2">
        <f t="shared" si="23"/>
        <v>7.0000000000000009</v>
      </c>
      <c r="Q16" s="2">
        <f t="shared" si="24"/>
        <v>7.0000000000000009</v>
      </c>
      <c r="R16" s="2">
        <f t="shared" si="25"/>
        <v>7.0000000000000009</v>
      </c>
      <c r="S16" s="2">
        <f t="shared" si="26"/>
        <v>7.0000000000000009</v>
      </c>
      <c r="T16" s="2">
        <f t="shared" si="27"/>
        <v>107</v>
      </c>
      <c r="U16" s="2">
        <f t="shared" si="28"/>
        <v>0</v>
      </c>
    </row>
    <row r="17" spans="1:21">
      <c r="A17" t="str">
        <f t="shared" si="15"/>
        <v>O</v>
      </c>
      <c r="B17" s="4">
        <v>72.385689349780307</v>
      </c>
      <c r="C17">
        <v>12</v>
      </c>
      <c r="D17" s="1">
        <v>7.4999999999999997E-2</v>
      </c>
      <c r="E17" s="13">
        <f t="shared" si="0"/>
        <v>0.11947029770728168</v>
      </c>
      <c r="H17" t="str">
        <f>A17</f>
        <v>O</v>
      </c>
      <c r="I17" s="3">
        <f t="shared" si="16"/>
        <v>-72.385689349780307</v>
      </c>
      <c r="J17" s="2">
        <f t="shared" si="17"/>
        <v>7.5</v>
      </c>
      <c r="K17" s="2">
        <f t="shared" si="18"/>
        <v>7.5</v>
      </c>
      <c r="L17" s="2">
        <f t="shared" si="19"/>
        <v>7.5</v>
      </c>
      <c r="M17" s="2">
        <f t="shared" si="20"/>
        <v>7.5</v>
      </c>
      <c r="N17" s="2">
        <f t="shared" si="21"/>
        <v>7.5</v>
      </c>
      <c r="O17" s="2">
        <f t="shared" si="22"/>
        <v>7.5</v>
      </c>
      <c r="P17" s="2">
        <f t="shared" si="23"/>
        <v>7.5</v>
      </c>
      <c r="Q17" s="2">
        <f t="shared" si="24"/>
        <v>7.5</v>
      </c>
      <c r="R17" s="2">
        <f t="shared" si="25"/>
        <v>7.5</v>
      </c>
      <c r="S17" s="2">
        <f t="shared" si="26"/>
        <v>7.5</v>
      </c>
      <c r="T17" s="2">
        <f t="shared" si="27"/>
        <v>7.5</v>
      </c>
      <c r="U17" s="2">
        <f t="shared" si="28"/>
        <v>107.5</v>
      </c>
    </row>
    <row r="18" spans="1:21">
      <c r="F18" s="13"/>
    </row>
    <row r="19" spans="1:21">
      <c r="F19" s="13"/>
    </row>
    <row r="21" spans="1:21">
      <c r="N21" s="12"/>
    </row>
    <row r="22" spans="1:21">
      <c r="N22" s="2"/>
    </row>
    <row r="23" spans="1:21">
      <c r="N23" s="2"/>
    </row>
    <row r="24" spans="1:21">
      <c r="N24" s="2"/>
    </row>
    <row r="25" spans="1:21">
      <c r="N25" s="2"/>
    </row>
    <row r="26" spans="1:21">
      <c r="N26" s="2"/>
    </row>
    <row r="27" spans="1:21">
      <c r="N27" s="2"/>
    </row>
    <row r="28" spans="1:21">
      <c r="N28" s="2"/>
    </row>
    <row r="29" spans="1:21">
      <c r="N29" s="2"/>
    </row>
    <row r="30" spans="1:21">
      <c r="N30" s="2"/>
    </row>
    <row r="31" spans="1:21">
      <c r="N31" s="2"/>
    </row>
    <row r="32" spans="1:21">
      <c r="N32" s="2"/>
    </row>
    <row r="33" spans="14:14">
      <c r="N33" s="2"/>
    </row>
  </sheetData>
  <mergeCells count="1">
    <mergeCell ref="C1:F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02EB2-F0BA-433B-A5AF-B36271B6CDFF}">
  <sheetPr codeName="Sheet3"/>
  <dimension ref="A2:P33"/>
  <sheetViews>
    <sheetView tabSelected="1" topLeftCell="A15" workbookViewId="0">
      <selection activeCell="Q41" sqref="Q41"/>
    </sheetView>
  </sheetViews>
  <sheetFormatPr defaultRowHeight="13.2"/>
  <cols>
    <col min="11" max="11" width="12.44140625" bestFit="1" customWidth="1"/>
    <col min="12" max="12" width="11.44140625" bestFit="1" customWidth="1"/>
  </cols>
  <sheetData>
    <row r="2" spans="1:12">
      <c r="A2" t="s">
        <v>1</v>
      </c>
      <c r="B2" t="s">
        <v>20</v>
      </c>
      <c r="C2" t="s">
        <v>2</v>
      </c>
      <c r="D2" t="s">
        <v>3</v>
      </c>
      <c r="E2" t="s">
        <v>4</v>
      </c>
      <c r="G2" t="s">
        <v>5</v>
      </c>
      <c r="H2" t="s">
        <v>21</v>
      </c>
      <c r="I2" t="s">
        <v>22</v>
      </c>
      <c r="K2" t="s">
        <v>33</v>
      </c>
      <c r="L2" t="s">
        <v>34</v>
      </c>
    </row>
    <row r="3" spans="1:12">
      <c r="A3" t="s">
        <v>8</v>
      </c>
      <c r="B3">
        <v>6.3500000000000001E-2</v>
      </c>
      <c r="C3">
        <f t="shared" ref="C3:C14" si="0">-PV(B3,D3,E3*$B$16,$B$16)</f>
        <v>95.909732016925261</v>
      </c>
      <c r="D3">
        <v>1</v>
      </c>
      <c r="E3">
        <v>0.02</v>
      </c>
      <c r="G3">
        <v>1</v>
      </c>
      <c r="H3" cm="1">
        <f t="array" ref="H3:H14">MMULT(MINVERSE(MMULT(TRANSPOSE(C22:N33),C22:N33)),MMULT(TRANSPOSE(C22:N33),C3:C14))</f>
        <v>0.94029149036201298</v>
      </c>
      <c r="I3" s="14">
        <f>-LN(H3)/G3</f>
        <v>6.156535565815402E-2</v>
      </c>
      <c r="K3" s="4">
        <f>C3</f>
        <v>95.909732016925261</v>
      </c>
      <c r="L3" s="4" cm="1">
        <f t="array" ref="L3:L14">MMULT(C22:N33,_xlfn.ANCHORARRAY(H3))</f>
        <v>95.909732016925318</v>
      </c>
    </row>
    <row r="4" spans="1:12">
      <c r="A4" t="s">
        <v>9</v>
      </c>
      <c r="B4">
        <v>6.2199999999999998E-2</v>
      </c>
      <c r="C4">
        <f t="shared" si="0"/>
        <v>93.200748147932543</v>
      </c>
      <c r="D4">
        <v>2</v>
      </c>
      <c r="E4">
        <v>2.5000000000000001E-2</v>
      </c>
      <c r="G4">
        <v>2</v>
      </c>
      <c r="H4">
        <v>0.88634165289783029</v>
      </c>
      <c r="I4" s="14">
        <f t="shared" ref="I4:I14" si="1">-LN(H4)/G4</f>
        <v>6.0326394977522027E-2</v>
      </c>
      <c r="K4" s="4">
        <f t="shared" ref="K4:K14" si="2">C4</f>
        <v>93.200748147932543</v>
      </c>
      <c r="L4" s="4">
        <v>93.200748147932615</v>
      </c>
    </row>
    <row r="5" spans="1:12">
      <c r="A5" t="s">
        <v>10</v>
      </c>
      <c r="B5">
        <v>6.2199999999999998E-2</v>
      </c>
      <c r="C5">
        <f t="shared" si="0"/>
        <v>91.427815933946889</v>
      </c>
      <c r="D5">
        <v>3</v>
      </c>
      <c r="E5">
        <v>0.03</v>
      </c>
      <c r="G5">
        <v>3</v>
      </c>
      <c r="H5">
        <v>0.83444579130259633</v>
      </c>
      <c r="I5" s="14">
        <f t="shared" si="1"/>
        <v>6.0329165827933316E-2</v>
      </c>
      <c r="K5" s="4">
        <f t="shared" si="2"/>
        <v>91.427815933946889</v>
      </c>
      <c r="L5" s="4">
        <v>91.42781593394696</v>
      </c>
    </row>
    <row r="6" spans="1:12">
      <c r="A6" t="s">
        <v>11</v>
      </c>
      <c r="B6">
        <v>6.2399999999999997E-2</v>
      </c>
      <c r="C6">
        <f t="shared" si="0"/>
        <v>90.557556348670161</v>
      </c>
      <c r="D6">
        <v>4</v>
      </c>
      <c r="E6">
        <v>3.5000000000000003E-2</v>
      </c>
      <c r="G6">
        <v>4</v>
      </c>
      <c r="H6">
        <v>0.78496405872175501</v>
      </c>
      <c r="I6" s="14">
        <f t="shared" si="1"/>
        <v>6.0529336828931211E-2</v>
      </c>
      <c r="K6" s="4">
        <f t="shared" si="2"/>
        <v>90.557556348670161</v>
      </c>
      <c r="L6" s="4">
        <v>90.557556348670175</v>
      </c>
    </row>
    <row r="7" spans="1:12">
      <c r="A7" t="s">
        <v>12</v>
      </c>
      <c r="B7">
        <v>6.2799999999999995E-2</v>
      </c>
      <c r="C7">
        <f t="shared" si="0"/>
        <v>90.468527401506407</v>
      </c>
      <c r="D7">
        <v>5</v>
      </c>
      <c r="E7">
        <v>0.04</v>
      </c>
      <c r="G7">
        <v>5</v>
      </c>
      <c r="H7">
        <v>0.73734957142663071</v>
      </c>
      <c r="I7" s="14">
        <f t="shared" si="1"/>
        <v>6.0938636504001255E-2</v>
      </c>
      <c r="K7" s="4">
        <f t="shared" si="2"/>
        <v>90.468527401506407</v>
      </c>
      <c r="L7" s="4">
        <v>90.468527401506378</v>
      </c>
    </row>
    <row r="8" spans="1:12">
      <c r="A8" t="s">
        <v>19</v>
      </c>
      <c r="B8">
        <v>6.3200000000000006E-2</v>
      </c>
      <c r="C8">
        <f t="shared" si="0"/>
        <v>91.139747097039702</v>
      </c>
      <c r="D8">
        <v>6</v>
      </c>
      <c r="E8">
        <v>4.4999999999999998E-2</v>
      </c>
      <c r="G8">
        <v>6</v>
      </c>
      <c r="H8">
        <v>0.69200459862048791</v>
      </c>
      <c r="I8" s="14">
        <f t="shared" si="1"/>
        <v>6.1360446330203128E-2</v>
      </c>
      <c r="K8" s="4">
        <f t="shared" si="2"/>
        <v>91.139747097039702</v>
      </c>
      <c r="L8" s="4">
        <v>91.139747097039702</v>
      </c>
    </row>
    <row r="9" spans="1:12">
      <c r="A9" t="s">
        <v>13</v>
      </c>
      <c r="B9">
        <v>6.3700000000000007E-2</v>
      </c>
      <c r="C9">
        <f t="shared" si="0"/>
        <v>92.45170141669638</v>
      </c>
      <c r="D9">
        <v>7</v>
      </c>
      <c r="E9">
        <v>0.05</v>
      </c>
      <c r="G9">
        <v>7</v>
      </c>
      <c r="H9">
        <v>0.64833062476228442</v>
      </c>
      <c r="I9" s="14">
        <f t="shared" si="1"/>
        <v>6.1907784192996473E-2</v>
      </c>
      <c r="K9" s="4">
        <f t="shared" si="2"/>
        <v>92.45170141669638</v>
      </c>
      <c r="L9" s="4">
        <v>92.451701416696437</v>
      </c>
    </row>
    <row r="10" spans="1:12">
      <c r="A10" t="s">
        <v>14</v>
      </c>
      <c r="B10">
        <v>6.4100000000000004E-2</v>
      </c>
      <c r="C10">
        <f t="shared" si="0"/>
        <v>94.4396545275753</v>
      </c>
      <c r="D10">
        <v>8</v>
      </c>
      <c r="E10">
        <v>5.5E-2</v>
      </c>
      <c r="G10">
        <v>8</v>
      </c>
      <c r="H10">
        <v>0.60719575064512354</v>
      </c>
      <c r="I10" s="14">
        <f t="shared" si="1"/>
        <v>6.2363006400498376E-2</v>
      </c>
      <c r="K10" s="4">
        <f t="shared" si="2"/>
        <v>94.4396545275753</v>
      </c>
      <c r="L10" s="4">
        <v>94.439654527575314</v>
      </c>
    </row>
    <row r="11" spans="1:12">
      <c r="A11" t="s">
        <v>15</v>
      </c>
      <c r="B11">
        <v>6.4600000000000005E-2</v>
      </c>
      <c r="C11">
        <f t="shared" si="0"/>
        <v>96.932915450516589</v>
      </c>
      <c r="D11">
        <v>9</v>
      </c>
      <c r="E11">
        <v>0.06</v>
      </c>
      <c r="G11">
        <v>9</v>
      </c>
      <c r="H11">
        <v>0.56742805866117219</v>
      </c>
      <c r="I11" s="14">
        <f t="shared" si="1"/>
        <v>6.2960145171269397E-2</v>
      </c>
      <c r="K11" s="4">
        <f t="shared" si="2"/>
        <v>96.932915450516589</v>
      </c>
      <c r="L11" s="4">
        <v>96.932915450516575</v>
      </c>
    </row>
    <row r="12" spans="1:12">
      <c r="A12" t="s">
        <v>16</v>
      </c>
      <c r="B12">
        <v>6.5000000000000002E-2</v>
      </c>
      <c r="C12">
        <f t="shared" si="0"/>
        <v>100</v>
      </c>
      <c r="D12">
        <v>10</v>
      </c>
      <c r="E12">
        <v>6.5000000000000002E-2</v>
      </c>
      <c r="G12">
        <v>10</v>
      </c>
      <c r="H12">
        <v>0.53014755508826961</v>
      </c>
      <c r="I12" s="14">
        <f t="shared" si="1"/>
        <v>6.3459990535675651E-2</v>
      </c>
      <c r="K12" s="4">
        <f t="shared" si="2"/>
        <v>100</v>
      </c>
      <c r="L12" s="4">
        <v>100.00000000000003</v>
      </c>
    </row>
    <row r="13" spans="1:12">
      <c r="A13" t="s">
        <v>17</v>
      </c>
      <c r="B13">
        <v>6.54E-2</v>
      </c>
      <c r="C13">
        <f t="shared" si="0"/>
        <v>103.52982980016291</v>
      </c>
      <c r="D13">
        <v>11</v>
      </c>
      <c r="E13">
        <v>7.0000000000000007E-2</v>
      </c>
      <c r="G13">
        <v>11</v>
      </c>
      <c r="H13">
        <v>0.49467603488547446</v>
      </c>
      <c r="I13" s="14">
        <f t="shared" si="1"/>
        <v>6.3986564150411498E-2</v>
      </c>
      <c r="K13" s="4">
        <f t="shared" si="2"/>
        <v>103.52982980016291</v>
      </c>
      <c r="L13" s="4">
        <v>103.52982980016293</v>
      </c>
    </row>
    <row r="14" spans="1:12">
      <c r="A14" t="s">
        <v>18</v>
      </c>
      <c r="B14">
        <v>6.5799999999999997E-2</v>
      </c>
      <c r="C14">
        <f t="shared" si="0"/>
        <v>107.47367602391358</v>
      </c>
      <c r="D14">
        <v>12</v>
      </c>
      <c r="E14">
        <v>7.4999999999999997E-2</v>
      </c>
      <c r="G14">
        <v>12</v>
      </c>
      <c r="H14">
        <v>0.4609289499405701</v>
      </c>
      <c r="I14" s="14">
        <f t="shared" si="1"/>
        <v>6.4542614122284403E-2</v>
      </c>
      <c r="K14" s="4">
        <f t="shared" si="2"/>
        <v>107.47367602391358</v>
      </c>
      <c r="L14" s="4">
        <v>107.47367602391355</v>
      </c>
    </row>
    <row r="16" spans="1:12">
      <c r="A16" t="s">
        <v>23</v>
      </c>
      <c r="B16">
        <v>100</v>
      </c>
    </row>
    <row r="21" spans="1:16">
      <c r="B21">
        <v>0</v>
      </c>
      <c r="C21" cm="1">
        <f t="array" ref="C21:N21">TRANSPOSE(D3:D14)</f>
        <v>1</v>
      </c>
      <c r="D21">
        <v>2</v>
      </c>
      <c r="E21">
        <v>3</v>
      </c>
      <c r="F21">
        <v>4</v>
      </c>
      <c r="G21">
        <v>5</v>
      </c>
      <c r="H21">
        <v>6</v>
      </c>
      <c r="I21">
        <v>7</v>
      </c>
      <c r="J21">
        <v>8</v>
      </c>
      <c r="K21">
        <v>9</v>
      </c>
      <c r="L21">
        <v>10</v>
      </c>
      <c r="M21">
        <v>11</v>
      </c>
      <c r="N21">
        <v>12</v>
      </c>
      <c r="P21" t="s">
        <v>31</v>
      </c>
    </row>
    <row r="22" spans="1:16">
      <c r="A22" t="s">
        <v>8</v>
      </c>
      <c r="B22">
        <f>-C3</f>
        <v>-95.909732016925261</v>
      </c>
      <c r="C22">
        <f>IF($C$21&lt;D3,$B$16*E3,IF($C$21=D3,$B$16*(1+E3),0))</f>
        <v>102</v>
      </c>
      <c r="D22">
        <f>IF($D$21&lt;D3,$B$16*E3,IF($D$21=D3,$B$16*(1+E3),0))</f>
        <v>0</v>
      </c>
      <c r="E22">
        <f>IF($E$21&lt;D3,$B$16*E3,IF($E$21=D3,$B$16*(1+E3),0))</f>
        <v>0</v>
      </c>
      <c r="F22">
        <f>IF($F$21&lt;D3,$B$16*E3,IF($F$21=D3,$B$16*(1+E3),0))</f>
        <v>0</v>
      </c>
      <c r="G22">
        <f>IF($G$21&lt;D3,$B$16*E3,IF($G$21=D3,$B$16*(1+E3),0))</f>
        <v>0</v>
      </c>
      <c r="H22">
        <f>IF($H$21&lt;D3,$B$16*E3,IF($H$21=D3,$B$16*(1+E3),0))</f>
        <v>0</v>
      </c>
      <c r="I22">
        <f>IF($I$21&lt;D3,$B$16*E3,IF($I$21=D3,$B$16*(1+E3),0))</f>
        <v>0</v>
      </c>
      <c r="J22">
        <f>IF($J$21&lt;D3,$B$16*E3,IF($J$21=D3,$B$16*(1+E3),0))</f>
        <v>0</v>
      </c>
      <c r="K22">
        <f>IF($K$21&lt;D3,$B$16*E3,IF($K$21=D3,$B$16*(1+E3),0))</f>
        <v>0</v>
      </c>
      <c r="L22">
        <f>IF($L$21&lt;D3,$B$16*E3,IF($L$21=D3,$B$16*(1+E3),0))</f>
        <v>0</v>
      </c>
      <c r="M22">
        <f>IF($M$21&lt;D3,$B$16*E3,IF($M$21=D3,$B$16*(1+E3),0))</f>
        <v>0</v>
      </c>
      <c r="N22">
        <f>IF($N$21&lt;D3,$B$16*E3,IF($N$21=D3,$B$16*(1+E3),0))</f>
        <v>0</v>
      </c>
      <c r="P22" s="1">
        <f>IRR(B22:N22)</f>
        <v>6.349999999999989E-2</v>
      </c>
    </row>
    <row r="23" spans="1:16">
      <c r="A23" t="s">
        <v>9</v>
      </c>
      <c r="B23">
        <f t="shared" ref="B23:B33" si="3">-C4</f>
        <v>-93.200748147932543</v>
      </c>
      <c r="C23">
        <f t="shared" ref="C23:C33" si="4">IF($C$21&lt;D4,$B$16*E4,IF($C$21=D4,$B$16*(1+E4),0))</f>
        <v>2.5</v>
      </c>
      <c r="D23">
        <f t="shared" ref="D23:D33" si="5">IF($D$21&lt;D4,$B$16*E4,IF($D$21=D4,$B$16*(1+E4),0))</f>
        <v>102.49999999999999</v>
      </c>
      <c r="E23">
        <f t="shared" ref="E23:E33" si="6">IF($E$21&lt;D4,$B$16*E4,IF($E$21=D4,$B$16*(1+E4),0))</f>
        <v>0</v>
      </c>
      <c r="F23">
        <f t="shared" ref="F23:F33" si="7">IF($F$21&lt;D4,$B$16*E4,IF($F$21=D4,$B$16*(1+E4),0))</f>
        <v>0</v>
      </c>
      <c r="G23">
        <f t="shared" ref="G23:G33" si="8">IF($G$21&lt;D4,$B$16*E4,IF($G$21=D4,$B$16*(1+E4),0))</f>
        <v>0</v>
      </c>
      <c r="H23">
        <f t="shared" ref="H23:H33" si="9">IF($H$21&lt;D4,$B$16*E4,IF($H$21=D4,$B$16*(1+E4),0))</f>
        <v>0</v>
      </c>
      <c r="I23">
        <f t="shared" ref="I23:I33" si="10">IF($I$21&lt;D4,$B$16*E4,IF($I$21=D4,$B$16*(1+E4),0))</f>
        <v>0</v>
      </c>
      <c r="J23">
        <f t="shared" ref="J23:J33" si="11">IF($J$21&lt;D4,$B$16*E4,IF($J$21=D4,$B$16*(1+E4),0))</f>
        <v>0</v>
      </c>
      <c r="K23">
        <f t="shared" ref="K23:K33" si="12">IF($K$21&lt;D4,$B$16*E4,IF($K$21=D4,$B$16*(1+E4),0))</f>
        <v>0</v>
      </c>
      <c r="L23">
        <f t="shared" ref="L23:L33" si="13">IF($L$21&lt;D4,$B$16*E4,IF($L$21=D4,$B$16*(1+E4),0))</f>
        <v>0</v>
      </c>
      <c r="M23">
        <f t="shared" ref="M23:M33" si="14">IF($M$21&lt;D4,$B$16*E4,IF($M$21=D4,$B$16*(1+E4),0))</f>
        <v>0</v>
      </c>
      <c r="N23">
        <f t="shared" ref="N23:N33" si="15">IF($N$21&lt;D4,$B$16*E4,IF($N$21=D4,$B$16*(1+E4),0))</f>
        <v>0</v>
      </c>
      <c r="P23" s="1">
        <f t="shared" ref="P23:P33" si="16">IRR(B23:N23)</f>
        <v>6.2199999999980271E-2</v>
      </c>
    </row>
    <row r="24" spans="1:16">
      <c r="A24" t="s">
        <v>10</v>
      </c>
      <c r="B24">
        <f t="shared" si="3"/>
        <v>-91.427815933946889</v>
      </c>
      <c r="C24">
        <f t="shared" si="4"/>
        <v>3</v>
      </c>
      <c r="D24">
        <f t="shared" si="5"/>
        <v>3</v>
      </c>
      <c r="E24">
        <f t="shared" si="6"/>
        <v>103</v>
      </c>
      <c r="F24">
        <f t="shared" si="7"/>
        <v>0</v>
      </c>
      <c r="G24">
        <f t="shared" si="8"/>
        <v>0</v>
      </c>
      <c r="H24">
        <f t="shared" si="9"/>
        <v>0</v>
      </c>
      <c r="I24">
        <f t="shared" si="10"/>
        <v>0</v>
      </c>
      <c r="J24">
        <f t="shared" si="11"/>
        <v>0</v>
      </c>
      <c r="K24">
        <f t="shared" si="12"/>
        <v>0</v>
      </c>
      <c r="L24">
        <f t="shared" si="13"/>
        <v>0</v>
      </c>
      <c r="M24">
        <f t="shared" si="14"/>
        <v>0</v>
      </c>
      <c r="N24">
        <f t="shared" si="15"/>
        <v>0</v>
      </c>
      <c r="P24" s="1">
        <f t="shared" si="16"/>
        <v>6.219999999750514E-2</v>
      </c>
    </row>
    <row r="25" spans="1:16">
      <c r="A25" t="s">
        <v>11</v>
      </c>
      <c r="B25">
        <f t="shared" si="3"/>
        <v>-90.557556348670161</v>
      </c>
      <c r="C25">
        <f t="shared" si="4"/>
        <v>3.5000000000000004</v>
      </c>
      <c r="D25">
        <f t="shared" si="5"/>
        <v>3.5000000000000004</v>
      </c>
      <c r="E25">
        <f t="shared" si="6"/>
        <v>3.5000000000000004</v>
      </c>
      <c r="F25">
        <f t="shared" si="7"/>
        <v>103.49999999999999</v>
      </c>
      <c r="G25">
        <f t="shared" si="8"/>
        <v>0</v>
      </c>
      <c r="H25">
        <f t="shared" si="9"/>
        <v>0</v>
      </c>
      <c r="I25">
        <f t="shared" si="10"/>
        <v>0</v>
      </c>
      <c r="J25">
        <f t="shared" si="11"/>
        <v>0</v>
      </c>
      <c r="K25">
        <f t="shared" si="12"/>
        <v>0</v>
      </c>
      <c r="L25">
        <f t="shared" si="13"/>
        <v>0</v>
      </c>
      <c r="M25">
        <f t="shared" si="14"/>
        <v>0</v>
      </c>
      <c r="N25">
        <f t="shared" si="15"/>
        <v>0</v>
      </c>
      <c r="P25" s="1">
        <f t="shared" si="16"/>
        <v>6.2400000000000011E-2</v>
      </c>
    </row>
    <row r="26" spans="1:16">
      <c r="A26" t="s">
        <v>12</v>
      </c>
      <c r="B26">
        <f t="shared" si="3"/>
        <v>-90.468527401506407</v>
      </c>
      <c r="C26">
        <f t="shared" si="4"/>
        <v>4</v>
      </c>
      <c r="D26">
        <f t="shared" si="5"/>
        <v>4</v>
      </c>
      <c r="E26">
        <f t="shared" si="6"/>
        <v>4</v>
      </c>
      <c r="F26">
        <f t="shared" si="7"/>
        <v>4</v>
      </c>
      <c r="G26">
        <f t="shared" si="8"/>
        <v>104</v>
      </c>
      <c r="H26">
        <f t="shared" si="9"/>
        <v>0</v>
      </c>
      <c r="I26">
        <f t="shared" si="10"/>
        <v>0</v>
      </c>
      <c r="J26">
        <f t="shared" si="11"/>
        <v>0</v>
      </c>
      <c r="K26">
        <f t="shared" si="12"/>
        <v>0</v>
      </c>
      <c r="L26">
        <f t="shared" si="13"/>
        <v>0</v>
      </c>
      <c r="M26">
        <f t="shared" si="14"/>
        <v>0</v>
      </c>
      <c r="N26">
        <f t="shared" si="15"/>
        <v>0</v>
      </c>
      <c r="P26" s="1">
        <f t="shared" si="16"/>
        <v>6.2800000000000411E-2</v>
      </c>
    </row>
    <row r="27" spans="1:16">
      <c r="A27" t="s">
        <v>19</v>
      </c>
      <c r="B27">
        <f t="shared" si="3"/>
        <v>-91.139747097039702</v>
      </c>
      <c r="C27">
        <f t="shared" si="4"/>
        <v>4.5</v>
      </c>
      <c r="D27">
        <f t="shared" si="5"/>
        <v>4.5</v>
      </c>
      <c r="E27">
        <f t="shared" si="6"/>
        <v>4.5</v>
      </c>
      <c r="F27">
        <f t="shared" si="7"/>
        <v>4.5</v>
      </c>
      <c r="G27">
        <f t="shared" si="8"/>
        <v>4.5</v>
      </c>
      <c r="H27">
        <f t="shared" si="9"/>
        <v>104.5</v>
      </c>
      <c r="I27">
        <f t="shared" si="10"/>
        <v>0</v>
      </c>
      <c r="J27">
        <f t="shared" si="11"/>
        <v>0</v>
      </c>
      <c r="K27">
        <f t="shared" si="12"/>
        <v>0</v>
      </c>
      <c r="L27">
        <f t="shared" si="13"/>
        <v>0</v>
      </c>
      <c r="M27">
        <f t="shared" si="14"/>
        <v>0</v>
      </c>
      <c r="N27">
        <f t="shared" si="15"/>
        <v>0</v>
      </c>
      <c r="P27" s="1">
        <f t="shared" si="16"/>
        <v>6.3200000000004586E-2</v>
      </c>
    </row>
    <row r="28" spans="1:16">
      <c r="A28" t="s">
        <v>13</v>
      </c>
      <c r="B28">
        <f t="shared" si="3"/>
        <v>-92.45170141669638</v>
      </c>
      <c r="C28">
        <f t="shared" si="4"/>
        <v>5</v>
      </c>
      <c r="D28">
        <f t="shared" si="5"/>
        <v>5</v>
      </c>
      <c r="E28">
        <f t="shared" si="6"/>
        <v>5</v>
      </c>
      <c r="F28">
        <f t="shared" si="7"/>
        <v>5</v>
      </c>
      <c r="G28">
        <f t="shared" si="8"/>
        <v>5</v>
      </c>
      <c r="H28">
        <f t="shared" si="9"/>
        <v>5</v>
      </c>
      <c r="I28">
        <f t="shared" si="10"/>
        <v>105</v>
      </c>
      <c r="J28">
        <f t="shared" si="11"/>
        <v>0</v>
      </c>
      <c r="K28">
        <f t="shared" si="12"/>
        <v>0</v>
      </c>
      <c r="L28">
        <f t="shared" si="13"/>
        <v>0</v>
      </c>
      <c r="M28">
        <f t="shared" si="14"/>
        <v>0</v>
      </c>
      <c r="N28">
        <f t="shared" si="15"/>
        <v>0</v>
      </c>
      <c r="P28" s="1">
        <f t="shared" si="16"/>
        <v>6.3700000000028734E-2</v>
      </c>
    </row>
    <row r="29" spans="1:16">
      <c r="A29" t="s">
        <v>14</v>
      </c>
      <c r="B29">
        <f t="shared" si="3"/>
        <v>-94.4396545275753</v>
      </c>
      <c r="C29">
        <f t="shared" si="4"/>
        <v>5.5</v>
      </c>
      <c r="D29">
        <f t="shared" si="5"/>
        <v>5.5</v>
      </c>
      <c r="E29">
        <f t="shared" si="6"/>
        <v>5.5</v>
      </c>
      <c r="F29">
        <f t="shared" si="7"/>
        <v>5.5</v>
      </c>
      <c r="G29">
        <f t="shared" si="8"/>
        <v>5.5</v>
      </c>
      <c r="H29">
        <f t="shared" si="9"/>
        <v>5.5</v>
      </c>
      <c r="I29">
        <f t="shared" si="10"/>
        <v>5.5</v>
      </c>
      <c r="J29">
        <f t="shared" si="11"/>
        <v>105.5</v>
      </c>
      <c r="K29">
        <f t="shared" si="12"/>
        <v>0</v>
      </c>
      <c r="L29">
        <f t="shared" si="13"/>
        <v>0</v>
      </c>
      <c r="M29">
        <f t="shared" si="14"/>
        <v>0</v>
      </c>
      <c r="N29">
        <f t="shared" si="15"/>
        <v>0</v>
      </c>
      <c r="P29" s="1">
        <f t="shared" si="16"/>
        <v>6.4100000000135493E-2</v>
      </c>
    </row>
    <row r="30" spans="1:16">
      <c r="A30" t="s">
        <v>15</v>
      </c>
      <c r="B30">
        <f t="shared" si="3"/>
        <v>-96.932915450516589</v>
      </c>
      <c r="C30">
        <f t="shared" si="4"/>
        <v>6</v>
      </c>
      <c r="D30">
        <f t="shared" si="5"/>
        <v>6</v>
      </c>
      <c r="E30">
        <f t="shared" si="6"/>
        <v>6</v>
      </c>
      <c r="F30">
        <f t="shared" si="7"/>
        <v>6</v>
      </c>
      <c r="G30">
        <f t="shared" si="8"/>
        <v>6</v>
      </c>
      <c r="H30">
        <f t="shared" si="9"/>
        <v>6</v>
      </c>
      <c r="I30">
        <f t="shared" si="10"/>
        <v>6</v>
      </c>
      <c r="J30">
        <f t="shared" si="11"/>
        <v>6</v>
      </c>
      <c r="K30">
        <f t="shared" si="12"/>
        <v>106</v>
      </c>
      <c r="L30">
        <f t="shared" si="13"/>
        <v>0</v>
      </c>
      <c r="M30">
        <f t="shared" si="14"/>
        <v>0</v>
      </c>
      <c r="N30">
        <f t="shared" si="15"/>
        <v>0</v>
      </c>
      <c r="P30" s="1">
        <f t="shared" si="16"/>
        <v>6.4600000000471391E-2</v>
      </c>
    </row>
    <row r="31" spans="1:16">
      <c r="A31" t="s">
        <v>16</v>
      </c>
      <c r="B31">
        <f t="shared" si="3"/>
        <v>-100</v>
      </c>
      <c r="C31">
        <f t="shared" si="4"/>
        <v>6.5</v>
      </c>
      <c r="D31">
        <f t="shared" si="5"/>
        <v>6.5</v>
      </c>
      <c r="E31">
        <f t="shared" si="6"/>
        <v>6.5</v>
      </c>
      <c r="F31">
        <f t="shared" si="7"/>
        <v>6.5</v>
      </c>
      <c r="G31">
        <f t="shared" si="8"/>
        <v>6.5</v>
      </c>
      <c r="H31">
        <f t="shared" si="9"/>
        <v>6.5</v>
      </c>
      <c r="I31">
        <f t="shared" si="10"/>
        <v>6.5</v>
      </c>
      <c r="J31">
        <f t="shared" si="11"/>
        <v>6.5</v>
      </c>
      <c r="K31">
        <f t="shared" si="12"/>
        <v>6.5</v>
      </c>
      <c r="L31">
        <f t="shared" si="13"/>
        <v>106.5</v>
      </c>
      <c r="M31">
        <f t="shared" si="14"/>
        <v>0</v>
      </c>
      <c r="N31">
        <f t="shared" si="15"/>
        <v>0</v>
      </c>
      <c r="P31" s="1">
        <f t="shared" si="16"/>
        <v>6.5000000001378622E-2</v>
      </c>
    </row>
    <row r="32" spans="1:16">
      <c r="A32" t="s">
        <v>17</v>
      </c>
      <c r="B32">
        <f t="shared" si="3"/>
        <v>-103.52982980016291</v>
      </c>
      <c r="C32">
        <f t="shared" si="4"/>
        <v>7.0000000000000009</v>
      </c>
      <c r="D32">
        <f t="shared" si="5"/>
        <v>7.0000000000000009</v>
      </c>
      <c r="E32">
        <f t="shared" si="6"/>
        <v>7.0000000000000009</v>
      </c>
      <c r="F32">
        <f t="shared" si="7"/>
        <v>7.0000000000000009</v>
      </c>
      <c r="G32">
        <f t="shared" si="8"/>
        <v>7.0000000000000009</v>
      </c>
      <c r="H32">
        <f t="shared" si="9"/>
        <v>7.0000000000000009</v>
      </c>
      <c r="I32">
        <f t="shared" si="10"/>
        <v>7.0000000000000009</v>
      </c>
      <c r="J32">
        <f t="shared" si="11"/>
        <v>7.0000000000000009</v>
      </c>
      <c r="K32">
        <f t="shared" si="12"/>
        <v>7.0000000000000009</v>
      </c>
      <c r="L32">
        <f t="shared" si="13"/>
        <v>7.0000000000000009</v>
      </c>
      <c r="M32">
        <f t="shared" si="14"/>
        <v>107</v>
      </c>
      <c r="N32">
        <f t="shared" si="15"/>
        <v>0</v>
      </c>
      <c r="P32" s="1">
        <f t="shared" si="16"/>
        <v>6.5400000003414949E-2</v>
      </c>
    </row>
    <row r="33" spans="1:16">
      <c r="A33" t="s">
        <v>18</v>
      </c>
      <c r="B33">
        <f t="shared" si="3"/>
        <v>-107.47367602391358</v>
      </c>
      <c r="C33">
        <f t="shared" si="4"/>
        <v>7.5</v>
      </c>
      <c r="D33">
        <f t="shared" si="5"/>
        <v>7.5</v>
      </c>
      <c r="E33">
        <f t="shared" si="6"/>
        <v>7.5</v>
      </c>
      <c r="F33">
        <f t="shared" si="7"/>
        <v>7.5</v>
      </c>
      <c r="G33">
        <f t="shared" si="8"/>
        <v>7.5</v>
      </c>
      <c r="H33">
        <f t="shared" si="9"/>
        <v>7.5</v>
      </c>
      <c r="I33">
        <f t="shared" si="10"/>
        <v>7.5</v>
      </c>
      <c r="J33">
        <f t="shared" si="11"/>
        <v>7.5</v>
      </c>
      <c r="K33">
        <f t="shared" si="12"/>
        <v>7.5</v>
      </c>
      <c r="L33">
        <f t="shared" si="13"/>
        <v>7.5</v>
      </c>
      <c r="M33">
        <f t="shared" si="14"/>
        <v>7.5</v>
      </c>
      <c r="N33">
        <f t="shared" si="15"/>
        <v>107.5</v>
      </c>
      <c r="P33" s="1">
        <f t="shared" si="16"/>
        <v>6.5800000007389059E-2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4C4E-4F06-49CF-95EE-E3F47F950406}">
  <sheetPr codeName="Sheet4"/>
  <dimension ref="A1:O34"/>
  <sheetViews>
    <sheetView workbookViewId="0">
      <selection activeCell="E30" sqref="E30"/>
    </sheetView>
  </sheetViews>
  <sheetFormatPr defaultRowHeight="13.2"/>
  <cols>
    <col min="1" max="1" width="17.33203125" bestFit="1" customWidth="1"/>
    <col min="2" max="2" width="17.33203125" customWidth="1"/>
    <col min="3" max="3" width="10" bestFit="1" customWidth="1"/>
    <col min="4" max="4" width="13.5546875" bestFit="1" customWidth="1"/>
    <col min="5" max="5" width="10.21875" bestFit="1" customWidth="1"/>
    <col min="10" max="10" width="10" bestFit="1" customWidth="1"/>
  </cols>
  <sheetData>
    <row r="1" spans="1:14">
      <c r="A1" t="s">
        <v>0</v>
      </c>
    </row>
    <row r="2" spans="1:14">
      <c r="A2" t="s">
        <v>1</v>
      </c>
      <c r="B2" t="s">
        <v>20</v>
      </c>
      <c r="C2" t="s">
        <v>2</v>
      </c>
      <c r="D2" t="s">
        <v>3</v>
      </c>
      <c r="E2" t="s">
        <v>4</v>
      </c>
      <c r="G2" t="s">
        <v>5</v>
      </c>
      <c r="H2" t="s">
        <v>21</v>
      </c>
      <c r="I2" t="s">
        <v>22</v>
      </c>
      <c r="J2" t="s">
        <v>6</v>
      </c>
      <c r="K2" t="s">
        <v>7</v>
      </c>
    </row>
    <row r="3" spans="1:14" ht="16.2">
      <c r="A3" t="s">
        <v>8</v>
      </c>
      <c r="B3" s="1">
        <v>6.3500000000000001E-2</v>
      </c>
      <c r="C3" s="3">
        <f t="shared" ref="C3:C14" si="0">-PV(B3,D3,E3*$B$16,$B$16)</f>
        <v>95.909732016925261</v>
      </c>
      <c r="D3">
        <v>1</v>
      </c>
      <c r="E3" s="1">
        <v>0.02</v>
      </c>
      <c r="G3">
        <v>1</v>
      </c>
      <c r="H3" s="4" cm="1">
        <f t="array" ref="H3:H14">MMULT(MINVERSE(MMULT(TRANSPOSE(C22:N33),C22:N33)),MMULT(TRANSPOSE(C22:N33),C3:C14))</f>
        <v>0.94029149036201298</v>
      </c>
      <c r="I3" s="1">
        <f>-LN(H3)/G3</f>
        <v>6.156535565815402E-2</v>
      </c>
      <c r="J3" s="9">
        <f t="shared" ref="J3:J14" si="1">$N$3+($N$4+$N$5)*$N$6*(1-EXP(-G3/$N$6))/G3-$N$5*EXP(-G3/$N$6)</f>
        <v>6.1473266872267951E-2</v>
      </c>
      <c r="K3">
        <f>(I3-J3)^2</f>
        <v>8.4803444859701891E-9</v>
      </c>
      <c r="M3" s="5" t="s">
        <v>24</v>
      </c>
      <c r="N3" s="6">
        <v>7.0654619778594843E-2</v>
      </c>
    </row>
    <row r="4" spans="1:14" ht="16.2">
      <c r="A4" t="s">
        <v>9</v>
      </c>
      <c r="B4" s="1">
        <v>6.2199999999999998E-2</v>
      </c>
      <c r="C4" s="3">
        <f t="shared" si="0"/>
        <v>93.200748147932543</v>
      </c>
      <c r="D4">
        <v>2</v>
      </c>
      <c r="E4" s="1">
        <v>2.5000000000000001E-2</v>
      </c>
      <c r="G4">
        <v>2</v>
      </c>
      <c r="H4" s="4">
        <v>0.88634165289783029</v>
      </c>
      <c r="I4" s="1">
        <f t="shared" ref="I4:I14" si="2">-LN(H4)/G4</f>
        <v>6.0326394977522027E-2</v>
      </c>
      <c r="J4" s="9">
        <f t="shared" si="1"/>
        <v>6.0545382917319639E-2</v>
      </c>
      <c r="K4">
        <f t="shared" ref="K4:K14" si="3">(I4-J4)^2</f>
        <v>4.7955717776802364E-8</v>
      </c>
      <c r="M4" s="5" t="s">
        <v>25</v>
      </c>
      <c r="N4" s="6">
        <v>-7.1657798747060885E-3</v>
      </c>
    </row>
    <row r="5" spans="1:14" ht="16.2">
      <c r="A5" t="s">
        <v>10</v>
      </c>
      <c r="B5" s="1">
        <v>6.2199999999999998E-2</v>
      </c>
      <c r="C5" s="3">
        <f t="shared" si="0"/>
        <v>91.427815933946889</v>
      </c>
      <c r="D5">
        <v>3</v>
      </c>
      <c r="E5" s="1">
        <v>0.03</v>
      </c>
      <c r="G5">
        <v>3</v>
      </c>
      <c r="H5" s="4">
        <v>0.83444579130259633</v>
      </c>
      <c r="I5" s="1">
        <f t="shared" si="2"/>
        <v>6.0329165827933316E-2</v>
      </c>
      <c r="J5" s="9">
        <f t="shared" si="1"/>
        <v>6.029398135172595E-2</v>
      </c>
      <c r="K5">
        <f t="shared" si="3"/>
        <v>1.2379473659866908E-9</v>
      </c>
      <c r="M5" s="5" t="s">
        <v>26</v>
      </c>
      <c r="N5" s="6">
        <v>-2.198076462506238E-2</v>
      </c>
    </row>
    <row r="6" spans="1:14" ht="13.8">
      <c r="A6" t="s">
        <v>11</v>
      </c>
      <c r="B6" s="1">
        <v>6.2399999999999997E-2</v>
      </c>
      <c r="C6" s="3">
        <f t="shared" si="0"/>
        <v>90.557556348670161</v>
      </c>
      <c r="D6">
        <v>4</v>
      </c>
      <c r="E6" s="1">
        <v>3.5000000000000003E-2</v>
      </c>
      <c r="G6">
        <v>4</v>
      </c>
      <c r="H6" s="4">
        <v>0.78496405872175501</v>
      </c>
      <c r="I6" s="1">
        <f t="shared" si="2"/>
        <v>6.0529336828931211E-2</v>
      </c>
      <c r="J6" s="9">
        <f t="shared" si="1"/>
        <v>6.0449350125464436E-2</v>
      </c>
      <c r="K6">
        <f t="shared" si="3"/>
        <v>6.3978727314818046E-9</v>
      </c>
      <c r="M6" s="7" t="s">
        <v>27</v>
      </c>
      <c r="N6" s="6">
        <v>2.6988304587491991</v>
      </c>
    </row>
    <row r="7" spans="1:14" ht="13.8">
      <c r="A7" t="s">
        <v>12</v>
      </c>
      <c r="B7" s="1">
        <v>6.2799999999999995E-2</v>
      </c>
      <c r="C7" s="3">
        <f t="shared" si="0"/>
        <v>90.468527401506407</v>
      </c>
      <c r="D7">
        <v>5</v>
      </c>
      <c r="E7" s="1">
        <v>0.04</v>
      </c>
      <c r="G7">
        <v>5</v>
      </c>
      <c r="H7" s="4">
        <v>0.73734957142663071</v>
      </c>
      <c r="I7" s="1">
        <f t="shared" si="2"/>
        <v>6.0938636504001255E-2</v>
      </c>
      <c r="J7" s="9">
        <f t="shared" si="1"/>
        <v>6.0836482184404635E-2</v>
      </c>
      <c r="K7">
        <f t="shared" si="3"/>
        <v>1.0435505012248408E-8</v>
      </c>
      <c r="M7" s="5" t="s">
        <v>7</v>
      </c>
      <c r="N7" s="8">
        <f>SUM(K3:K14)</f>
        <v>1.0316301141379428E-7</v>
      </c>
    </row>
    <row r="8" spans="1:14">
      <c r="A8" t="s">
        <v>19</v>
      </c>
      <c r="B8" s="1">
        <v>6.3200000000000006E-2</v>
      </c>
      <c r="C8" s="3">
        <f t="shared" si="0"/>
        <v>91.139747097039702</v>
      </c>
      <c r="D8">
        <v>6</v>
      </c>
      <c r="E8" s="1">
        <v>4.4999999999999998E-2</v>
      </c>
      <c r="G8">
        <v>6</v>
      </c>
      <c r="H8" s="4">
        <v>0.69200459862048791</v>
      </c>
      <c r="I8" s="1">
        <f t="shared" si="2"/>
        <v>6.1360446330203128E-2</v>
      </c>
      <c r="J8" s="9">
        <f t="shared" si="1"/>
        <v>6.1343441180633861E-2</v>
      </c>
      <c r="K8">
        <f t="shared" si="3"/>
        <v>2.8917511187314797E-10</v>
      </c>
    </row>
    <row r="9" spans="1:14">
      <c r="A9" t="s">
        <v>13</v>
      </c>
      <c r="B9" s="1">
        <v>6.3700000000000007E-2</v>
      </c>
      <c r="C9" s="3">
        <f t="shared" si="0"/>
        <v>92.45170141669638</v>
      </c>
      <c r="D9">
        <v>7</v>
      </c>
      <c r="E9" s="1">
        <v>0.05</v>
      </c>
      <c r="G9">
        <v>7</v>
      </c>
      <c r="H9" s="4">
        <v>0.64833062476228442</v>
      </c>
      <c r="I9" s="1">
        <f t="shared" si="2"/>
        <v>6.1907784192996473E-2</v>
      </c>
      <c r="J9" s="9">
        <f t="shared" si="1"/>
        <v>6.190003319822078E-2</v>
      </c>
      <c r="K9">
        <f t="shared" si="3"/>
        <v>6.0077920012823085E-11</v>
      </c>
    </row>
    <row r="10" spans="1:14">
      <c r="A10" t="s">
        <v>14</v>
      </c>
      <c r="B10" s="1">
        <v>6.4100000000000004E-2</v>
      </c>
      <c r="C10" s="3">
        <f t="shared" si="0"/>
        <v>94.4396545275753</v>
      </c>
      <c r="D10">
        <v>8</v>
      </c>
      <c r="E10" s="1">
        <v>5.5E-2</v>
      </c>
      <c r="G10">
        <v>8</v>
      </c>
      <c r="H10" s="4">
        <v>0.60719575064512354</v>
      </c>
      <c r="I10" s="1">
        <f t="shared" si="2"/>
        <v>6.2363006400498376E-2</v>
      </c>
      <c r="J10" s="9">
        <f t="shared" si="1"/>
        <v>6.2463474748619068E-2</v>
      </c>
      <c r="K10">
        <f t="shared" si="3"/>
        <v>1.0093888974100433E-8</v>
      </c>
    </row>
    <row r="11" spans="1:14">
      <c r="A11" t="s">
        <v>15</v>
      </c>
      <c r="B11" s="1">
        <v>6.4600000000000005E-2</v>
      </c>
      <c r="C11" s="3">
        <f t="shared" si="0"/>
        <v>96.932915450516589</v>
      </c>
      <c r="D11">
        <v>9</v>
      </c>
      <c r="E11" s="1">
        <v>0.06</v>
      </c>
      <c r="G11">
        <v>9</v>
      </c>
      <c r="H11" s="4">
        <v>0.56742805866117219</v>
      </c>
      <c r="I11" s="1">
        <f t="shared" si="2"/>
        <v>6.2960145171269397E-2</v>
      </c>
      <c r="J11" s="9">
        <f t="shared" si="1"/>
        <v>6.3008800672928689E-2</v>
      </c>
      <c r="K11">
        <f t="shared" si="3"/>
        <v>2.3673578417173774E-9</v>
      </c>
    </row>
    <row r="12" spans="1:14">
      <c r="A12" t="s">
        <v>16</v>
      </c>
      <c r="B12" s="1">
        <v>6.5000000000000002E-2</v>
      </c>
      <c r="C12" s="3">
        <f t="shared" si="0"/>
        <v>100</v>
      </c>
      <c r="D12">
        <v>10</v>
      </c>
      <c r="E12" s="1">
        <v>6.5000000000000002E-2</v>
      </c>
      <c r="G12">
        <v>10</v>
      </c>
      <c r="H12" s="4">
        <v>0.53014755508826961</v>
      </c>
      <c r="I12" s="1">
        <f t="shared" si="2"/>
        <v>6.3459990535675651E-2</v>
      </c>
      <c r="J12" s="9">
        <f t="shared" si="1"/>
        <v>6.3522475730712888E-2</v>
      </c>
      <c r="K12">
        <f t="shared" si="3"/>
        <v>3.9043995988415937E-9</v>
      </c>
    </row>
    <row r="13" spans="1:14">
      <c r="A13" t="s">
        <v>17</v>
      </c>
      <c r="B13" s="1">
        <v>6.54E-2</v>
      </c>
      <c r="C13" s="3">
        <f t="shared" si="0"/>
        <v>103.52982980016291</v>
      </c>
      <c r="D13">
        <v>11</v>
      </c>
      <c r="E13" s="1">
        <v>7.0000000000000007E-2</v>
      </c>
      <c r="G13">
        <v>11</v>
      </c>
      <c r="H13" s="4">
        <v>0.49467603488547446</v>
      </c>
      <c r="I13" s="1">
        <f t="shared" si="2"/>
        <v>6.3986564150411498E-2</v>
      </c>
      <c r="J13" s="9">
        <f t="shared" si="1"/>
        <v>6.3998165532440213E-2</v>
      </c>
      <c r="K13">
        <f t="shared" si="3"/>
        <v>1.3459206497617259E-10</v>
      </c>
    </row>
    <row r="14" spans="1:14">
      <c r="A14" t="s">
        <v>18</v>
      </c>
      <c r="B14" s="1">
        <v>6.5799999999999997E-2</v>
      </c>
      <c r="C14" s="3">
        <f t="shared" si="0"/>
        <v>107.47367602391358</v>
      </c>
      <c r="D14">
        <v>12</v>
      </c>
      <c r="E14" s="1">
        <v>7.4999999999999997E-2</v>
      </c>
      <c r="G14">
        <v>12</v>
      </c>
      <c r="H14" s="4">
        <v>0.4609289499405701</v>
      </c>
      <c r="I14" s="1">
        <f t="shared" si="2"/>
        <v>6.4542614122284403E-2</v>
      </c>
      <c r="J14" s="9">
        <f t="shared" si="1"/>
        <v>6.4433958093782606E-2</v>
      </c>
      <c r="K14">
        <f t="shared" si="3"/>
        <v>1.1806132529783276E-8</v>
      </c>
    </row>
    <row r="15" spans="1:14">
      <c r="B15" s="2"/>
      <c r="E15" s="1"/>
      <c r="I15" s="1"/>
    </row>
    <row r="16" spans="1:14">
      <c r="A16" t="s">
        <v>23</v>
      </c>
      <c r="B16">
        <v>100</v>
      </c>
      <c r="E16" s="1"/>
    </row>
    <row r="17" spans="1:15">
      <c r="B17" s="2"/>
      <c r="E17" s="1"/>
    </row>
    <row r="18" spans="1:15">
      <c r="B18" s="2"/>
    </row>
    <row r="21" spans="1:15">
      <c r="B21">
        <v>0</v>
      </c>
      <c r="C21" cm="1">
        <f t="array" ref="C21:N21">TRANSPOSE(D3:D14)</f>
        <v>1</v>
      </c>
      <c r="D21">
        <v>2</v>
      </c>
      <c r="E21">
        <v>3</v>
      </c>
      <c r="F21">
        <v>4</v>
      </c>
      <c r="G21">
        <v>5</v>
      </c>
      <c r="H21">
        <v>6</v>
      </c>
      <c r="I21">
        <v>7</v>
      </c>
      <c r="J21">
        <v>8</v>
      </c>
      <c r="K21">
        <v>9</v>
      </c>
      <c r="L21">
        <v>10</v>
      </c>
      <c r="M21">
        <v>11</v>
      </c>
      <c r="N21">
        <v>12</v>
      </c>
    </row>
    <row r="22" spans="1:15">
      <c r="A22" t="s">
        <v>8</v>
      </c>
      <c r="B22" s="3">
        <f>-C3</f>
        <v>-95.909732016925261</v>
      </c>
      <c r="C22" s="2">
        <f>IF($C$21&lt;D3,$B$16*E3,IF($C$21=D3,$B$16*(1+E3),0))</f>
        <v>102</v>
      </c>
      <c r="D22" s="2">
        <f>IF($D$21&lt;D3,$B$16*E3,IF($D$21=D3,$B$16*(1+E3),0))</f>
        <v>0</v>
      </c>
      <c r="E22" s="2">
        <f>IF($E$21&lt;D3,$B$16*E3,IF($E$21=D3,$B$16*(1+E3),0))</f>
        <v>0</v>
      </c>
      <c r="F22" s="2">
        <f>IF($F$21&lt;D3,$B$16*E3,IF($F$21=D3,$B$16*(1+E3),0))</f>
        <v>0</v>
      </c>
      <c r="G22" s="2">
        <f>IF($G$21&lt;D3,$B$16*E3,IF($G$21=D3,$B$16*(1+E3),0))</f>
        <v>0</v>
      </c>
      <c r="H22" s="2">
        <f>IF($H$21&lt;D3,$B$16*E3,IF($H$21=D3,$B$16*(1+E3),0))</f>
        <v>0</v>
      </c>
      <c r="I22" s="2">
        <f>IF($I$21&lt;D3,$B$16*E3,IF($I$21=D3,$B$16*(1+E3),0))</f>
        <v>0</v>
      </c>
      <c r="J22" s="2">
        <f>IF($J$21&lt;D3,$B$16*E3,IF($J$21=D3,$B$16*(1+E3),0))</f>
        <v>0</v>
      </c>
      <c r="K22" s="2">
        <f>IF($K$21&lt;D3,$B$16*E3,IF($K$21=D3,$B$16*(1+E3),0))</f>
        <v>0</v>
      </c>
      <c r="L22" s="2">
        <f>IF($L$21&lt;D3,$B$16*E3,IF($L$21=D3,$B$16*(1+E3),0))</f>
        <v>0</v>
      </c>
      <c r="M22" s="2">
        <f>IF($M$21&lt;D3,$B$16*E3,IF($M$21=D3,$B$16*(1+E3),0))</f>
        <v>0</v>
      </c>
      <c r="N22" s="2">
        <f>IF($N$21&lt;D3,$B$16*E3,IF($N$21=D3,$B$16*(1+E3),0))</f>
        <v>0</v>
      </c>
      <c r="O22" s="3"/>
    </row>
    <row r="23" spans="1:15">
      <c r="A23" t="s">
        <v>9</v>
      </c>
      <c r="B23" s="3">
        <f t="shared" ref="B23" si="4">-C4</f>
        <v>-93.200748147932543</v>
      </c>
      <c r="C23" s="2">
        <f t="shared" ref="C23:C33" si="5">IF($C$21&lt;D4,$B$16*E4,IF($C$21=D4,$B$16*(1+E4),0))</f>
        <v>2.5</v>
      </c>
      <c r="D23" s="2">
        <f t="shared" ref="D23:D33" si="6">IF($D$21&lt;D4,$B$16*E4,IF($D$21=D4,$B$16*(1+E4),0))</f>
        <v>102.49999999999999</v>
      </c>
      <c r="E23" s="2">
        <f t="shared" ref="E23:E33" si="7">IF($E$21&lt;D4,$B$16*E4,IF($E$21=D4,$B$16*(1+E4),0))</f>
        <v>0</v>
      </c>
      <c r="F23" s="2">
        <f t="shared" ref="F23:F33" si="8">IF($F$21&lt;D4,$B$16*E4,IF($F$21=D4,$B$16*(1+E4),0))</f>
        <v>0</v>
      </c>
      <c r="G23" s="2">
        <f t="shared" ref="G23:G33" si="9">IF($G$21&lt;D4,$B$16*E4,IF($G$21=D4,$B$16*(1+E4),0))</f>
        <v>0</v>
      </c>
      <c r="H23" s="2">
        <f t="shared" ref="H23:H33" si="10">IF($H$21&lt;D4,$B$16*E4,IF($H$21=D4,$B$16*(1+E4),0))</f>
        <v>0</v>
      </c>
      <c r="I23" s="2">
        <f t="shared" ref="I23:I33" si="11">IF($I$21&lt;D4,$B$16*E4,IF($I$21=D4,$B$16*(1+E4),0))</f>
        <v>0</v>
      </c>
      <c r="J23" s="2">
        <f t="shared" ref="J23:J33" si="12">IF($J$21&lt;D4,$B$16*E4,IF($J$21=D4,$B$16*(1+E4),0))</f>
        <v>0</v>
      </c>
      <c r="K23" s="2">
        <f t="shared" ref="K23:K33" si="13">IF($K$21&lt;D4,$B$16*E4,IF($K$21=D4,$B$16*(1+E4),0))</f>
        <v>0</v>
      </c>
      <c r="L23" s="2">
        <f t="shared" ref="L23:L33" si="14">IF($L$21&lt;D4,$B$16*E4,IF($L$21=D4,$B$16*(1+E4),0))</f>
        <v>0</v>
      </c>
      <c r="M23" s="2">
        <f t="shared" ref="M23:M33" si="15">IF($M$21&lt;D4,$B$16*E4,IF($M$21=D4,$B$16*(1+E4),0))</f>
        <v>0</v>
      </c>
      <c r="N23" s="2">
        <f t="shared" ref="N23:N33" si="16">IF($N$21&lt;D4,$B$16*E4,IF($N$21=D4,$B$16*(1+E4),0))</f>
        <v>0</v>
      </c>
    </row>
    <row r="24" spans="1:15">
      <c r="A24" t="s">
        <v>10</v>
      </c>
      <c r="B24" s="3">
        <f t="shared" ref="B24" si="17">-C5</f>
        <v>-91.427815933946889</v>
      </c>
      <c r="C24" s="2">
        <f t="shared" si="5"/>
        <v>3</v>
      </c>
      <c r="D24" s="2">
        <f t="shared" si="6"/>
        <v>3</v>
      </c>
      <c r="E24" s="2">
        <f t="shared" si="7"/>
        <v>103</v>
      </c>
      <c r="F24" s="2">
        <f t="shared" si="8"/>
        <v>0</v>
      </c>
      <c r="G24" s="2">
        <f t="shared" si="9"/>
        <v>0</v>
      </c>
      <c r="H24" s="2">
        <f t="shared" si="10"/>
        <v>0</v>
      </c>
      <c r="I24" s="2">
        <f t="shared" si="11"/>
        <v>0</v>
      </c>
      <c r="J24" s="2">
        <f t="shared" si="12"/>
        <v>0</v>
      </c>
      <c r="K24" s="2">
        <f t="shared" si="13"/>
        <v>0</v>
      </c>
      <c r="L24" s="2">
        <f t="shared" si="14"/>
        <v>0</v>
      </c>
      <c r="M24" s="2">
        <f t="shared" si="15"/>
        <v>0</v>
      </c>
      <c r="N24" s="2">
        <f t="shared" si="16"/>
        <v>0</v>
      </c>
    </row>
    <row r="25" spans="1:15">
      <c r="A25" t="s">
        <v>11</v>
      </c>
      <c r="B25" s="3">
        <f t="shared" ref="B25" si="18">-C6</f>
        <v>-90.557556348670161</v>
      </c>
      <c r="C25" s="2">
        <f t="shared" si="5"/>
        <v>3.5000000000000004</v>
      </c>
      <c r="D25" s="2">
        <f t="shared" si="6"/>
        <v>3.5000000000000004</v>
      </c>
      <c r="E25" s="2">
        <f t="shared" si="7"/>
        <v>3.5000000000000004</v>
      </c>
      <c r="F25" s="2">
        <f t="shared" si="8"/>
        <v>103.49999999999999</v>
      </c>
      <c r="G25" s="2">
        <f t="shared" si="9"/>
        <v>0</v>
      </c>
      <c r="H25" s="2">
        <f t="shared" si="10"/>
        <v>0</v>
      </c>
      <c r="I25" s="2">
        <f t="shared" si="11"/>
        <v>0</v>
      </c>
      <c r="J25" s="2">
        <f t="shared" si="12"/>
        <v>0</v>
      </c>
      <c r="K25" s="2">
        <f t="shared" si="13"/>
        <v>0</v>
      </c>
      <c r="L25" s="2">
        <f t="shared" si="14"/>
        <v>0</v>
      </c>
      <c r="M25" s="2">
        <f t="shared" si="15"/>
        <v>0</v>
      </c>
      <c r="N25" s="2">
        <f t="shared" si="16"/>
        <v>0</v>
      </c>
    </row>
    <row r="26" spans="1:15">
      <c r="A26" t="s">
        <v>12</v>
      </c>
      <c r="B26" s="3">
        <f t="shared" ref="B26" si="19">-C7</f>
        <v>-90.468527401506407</v>
      </c>
      <c r="C26" s="2">
        <f t="shared" si="5"/>
        <v>4</v>
      </c>
      <c r="D26" s="2">
        <f t="shared" si="6"/>
        <v>4</v>
      </c>
      <c r="E26" s="2">
        <f t="shared" si="7"/>
        <v>4</v>
      </c>
      <c r="F26" s="2">
        <f t="shared" si="8"/>
        <v>4</v>
      </c>
      <c r="G26" s="2">
        <f t="shared" si="9"/>
        <v>104</v>
      </c>
      <c r="H26" s="2">
        <f t="shared" si="10"/>
        <v>0</v>
      </c>
      <c r="I26" s="2">
        <f t="shared" si="11"/>
        <v>0</v>
      </c>
      <c r="J26" s="2">
        <f t="shared" si="12"/>
        <v>0</v>
      </c>
      <c r="K26" s="2">
        <f t="shared" si="13"/>
        <v>0</v>
      </c>
      <c r="L26" s="2">
        <f t="shared" si="14"/>
        <v>0</v>
      </c>
      <c r="M26" s="2">
        <f t="shared" si="15"/>
        <v>0</v>
      </c>
      <c r="N26" s="2">
        <f t="shared" si="16"/>
        <v>0</v>
      </c>
    </row>
    <row r="27" spans="1:15">
      <c r="A27" t="s">
        <v>19</v>
      </c>
      <c r="B27" s="3">
        <f t="shared" ref="B27" si="20">-C8</f>
        <v>-91.139747097039702</v>
      </c>
      <c r="C27" s="2">
        <f t="shared" si="5"/>
        <v>4.5</v>
      </c>
      <c r="D27" s="2">
        <f t="shared" si="6"/>
        <v>4.5</v>
      </c>
      <c r="E27" s="2">
        <f t="shared" si="7"/>
        <v>4.5</v>
      </c>
      <c r="F27" s="2">
        <f t="shared" si="8"/>
        <v>4.5</v>
      </c>
      <c r="G27" s="2">
        <f t="shared" si="9"/>
        <v>4.5</v>
      </c>
      <c r="H27" s="2">
        <f t="shared" si="10"/>
        <v>104.5</v>
      </c>
      <c r="I27" s="2">
        <f t="shared" si="11"/>
        <v>0</v>
      </c>
      <c r="J27" s="2">
        <f t="shared" si="12"/>
        <v>0</v>
      </c>
      <c r="K27" s="2">
        <f t="shared" si="13"/>
        <v>0</v>
      </c>
      <c r="L27" s="2">
        <f t="shared" si="14"/>
        <v>0</v>
      </c>
      <c r="M27" s="2">
        <f t="shared" si="15"/>
        <v>0</v>
      </c>
      <c r="N27" s="2">
        <f t="shared" si="16"/>
        <v>0</v>
      </c>
    </row>
    <row r="28" spans="1:15">
      <c r="A28" t="s">
        <v>13</v>
      </c>
      <c r="B28" s="3">
        <f t="shared" ref="B28" si="21">-C9</f>
        <v>-92.45170141669638</v>
      </c>
      <c r="C28" s="2">
        <f t="shared" si="5"/>
        <v>5</v>
      </c>
      <c r="D28" s="2">
        <f t="shared" si="6"/>
        <v>5</v>
      </c>
      <c r="E28" s="2">
        <f t="shared" si="7"/>
        <v>5</v>
      </c>
      <c r="F28" s="2">
        <f t="shared" si="8"/>
        <v>5</v>
      </c>
      <c r="G28" s="2">
        <f t="shared" si="9"/>
        <v>5</v>
      </c>
      <c r="H28" s="2">
        <f t="shared" si="10"/>
        <v>5</v>
      </c>
      <c r="I28" s="2">
        <f t="shared" si="11"/>
        <v>105</v>
      </c>
      <c r="J28" s="2">
        <f t="shared" si="12"/>
        <v>0</v>
      </c>
      <c r="K28" s="2">
        <f t="shared" si="13"/>
        <v>0</v>
      </c>
      <c r="L28" s="2">
        <f t="shared" si="14"/>
        <v>0</v>
      </c>
      <c r="M28" s="2">
        <f t="shared" si="15"/>
        <v>0</v>
      </c>
      <c r="N28" s="2">
        <f t="shared" si="16"/>
        <v>0</v>
      </c>
    </row>
    <row r="29" spans="1:15">
      <c r="A29" t="s">
        <v>14</v>
      </c>
      <c r="B29" s="3">
        <f t="shared" ref="B29" si="22">-C10</f>
        <v>-94.4396545275753</v>
      </c>
      <c r="C29" s="2">
        <f t="shared" si="5"/>
        <v>5.5</v>
      </c>
      <c r="D29" s="2">
        <f t="shared" si="6"/>
        <v>5.5</v>
      </c>
      <c r="E29" s="2">
        <f t="shared" si="7"/>
        <v>5.5</v>
      </c>
      <c r="F29" s="2">
        <f t="shared" si="8"/>
        <v>5.5</v>
      </c>
      <c r="G29" s="2">
        <f t="shared" si="9"/>
        <v>5.5</v>
      </c>
      <c r="H29" s="2">
        <f t="shared" si="10"/>
        <v>5.5</v>
      </c>
      <c r="I29" s="2">
        <f t="shared" si="11"/>
        <v>5.5</v>
      </c>
      <c r="J29" s="2">
        <f t="shared" si="12"/>
        <v>105.5</v>
      </c>
      <c r="K29" s="2">
        <f t="shared" si="13"/>
        <v>0</v>
      </c>
      <c r="L29" s="2">
        <f t="shared" si="14"/>
        <v>0</v>
      </c>
      <c r="M29" s="2">
        <f t="shared" si="15"/>
        <v>0</v>
      </c>
      <c r="N29" s="2">
        <f t="shared" si="16"/>
        <v>0</v>
      </c>
    </row>
    <row r="30" spans="1:15">
      <c r="A30" t="s">
        <v>15</v>
      </c>
      <c r="B30" s="3">
        <f t="shared" ref="B30" si="23">-C11</f>
        <v>-96.932915450516589</v>
      </c>
      <c r="C30" s="2">
        <f t="shared" si="5"/>
        <v>6</v>
      </c>
      <c r="D30" s="2">
        <f t="shared" si="6"/>
        <v>6</v>
      </c>
      <c r="E30" s="2">
        <f t="shared" si="7"/>
        <v>6</v>
      </c>
      <c r="F30" s="2">
        <f t="shared" si="8"/>
        <v>6</v>
      </c>
      <c r="G30" s="2">
        <f t="shared" si="9"/>
        <v>6</v>
      </c>
      <c r="H30" s="2">
        <f t="shared" si="10"/>
        <v>6</v>
      </c>
      <c r="I30" s="2">
        <f t="shared" si="11"/>
        <v>6</v>
      </c>
      <c r="J30" s="2">
        <f t="shared" si="12"/>
        <v>6</v>
      </c>
      <c r="K30" s="2">
        <f t="shared" si="13"/>
        <v>106</v>
      </c>
      <c r="L30" s="2">
        <f t="shared" si="14"/>
        <v>0</v>
      </c>
      <c r="M30" s="2">
        <f t="shared" si="15"/>
        <v>0</v>
      </c>
      <c r="N30" s="2">
        <f t="shared" si="16"/>
        <v>0</v>
      </c>
    </row>
    <row r="31" spans="1:15">
      <c r="A31" t="s">
        <v>16</v>
      </c>
      <c r="B31" s="3">
        <f t="shared" ref="B31" si="24">-C12</f>
        <v>-100</v>
      </c>
      <c r="C31" s="2">
        <f t="shared" si="5"/>
        <v>6.5</v>
      </c>
      <c r="D31" s="2">
        <f t="shared" si="6"/>
        <v>6.5</v>
      </c>
      <c r="E31" s="2">
        <f t="shared" si="7"/>
        <v>6.5</v>
      </c>
      <c r="F31" s="2">
        <f t="shared" si="8"/>
        <v>6.5</v>
      </c>
      <c r="G31" s="2">
        <f t="shared" si="9"/>
        <v>6.5</v>
      </c>
      <c r="H31" s="2">
        <f t="shared" si="10"/>
        <v>6.5</v>
      </c>
      <c r="I31" s="2">
        <f t="shared" si="11"/>
        <v>6.5</v>
      </c>
      <c r="J31" s="2">
        <f t="shared" si="12"/>
        <v>6.5</v>
      </c>
      <c r="K31" s="2">
        <f t="shared" si="13"/>
        <v>6.5</v>
      </c>
      <c r="L31" s="2">
        <f t="shared" si="14"/>
        <v>106.5</v>
      </c>
      <c r="M31" s="2">
        <f t="shared" si="15"/>
        <v>0</v>
      </c>
      <c r="N31" s="2">
        <f t="shared" si="16"/>
        <v>0</v>
      </c>
    </row>
    <row r="32" spans="1:15">
      <c r="A32" t="s">
        <v>17</v>
      </c>
      <c r="B32" s="3">
        <f t="shared" ref="B32" si="25">-C13</f>
        <v>-103.52982980016291</v>
      </c>
      <c r="C32" s="2">
        <f t="shared" si="5"/>
        <v>7.0000000000000009</v>
      </c>
      <c r="D32" s="2">
        <f t="shared" si="6"/>
        <v>7.0000000000000009</v>
      </c>
      <c r="E32" s="2">
        <f t="shared" si="7"/>
        <v>7.0000000000000009</v>
      </c>
      <c r="F32" s="2">
        <f t="shared" si="8"/>
        <v>7.0000000000000009</v>
      </c>
      <c r="G32" s="2">
        <f t="shared" si="9"/>
        <v>7.0000000000000009</v>
      </c>
      <c r="H32" s="2">
        <f t="shared" si="10"/>
        <v>7.0000000000000009</v>
      </c>
      <c r="I32" s="2">
        <f t="shared" si="11"/>
        <v>7.0000000000000009</v>
      </c>
      <c r="J32" s="2">
        <f t="shared" si="12"/>
        <v>7.0000000000000009</v>
      </c>
      <c r="K32" s="2">
        <f t="shared" si="13"/>
        <v>7.0000000000000009</v>
      </c>
      <c r="L32" s="2">
        <f t="shared" si="14"/>
        <v>7.0000000000000009</v>
      </c>
      <c r="M32" s="2">
        <f t="shared" si="15"/>
        <v>107</v>
      </c>
      <c r="N32" s="2">
        <f t="shared" si="16"/>
        <v>0</v>
      </c>
    </row>
    <row r="33" spans="1:14">
      <c r="A33" t="s">
        <v>18</v>
      </c>
      <c r="B33" s="3">
        <f t="shared" ref="B33" si="26">-C14</f>
        <v>-107.47367602391358</v>
      </c>
      <c r="C33" s="2">
        <f t="shared" si="5"/>
        <v>7.5</v>
      </c>
      <c r="D33" s="2">
        <f t="shared" si="6"/>
        <v>7.5</v>
      </c>
      <c r="E33" s="2">
        <f t="shared" si="7"/>
        <v>7.5</v>
      </c>
      <c r="F33" s="2">
        <f t="shared" si="8"/>
        <v>7.5</v>
      </c>
      <c r="G33" s="2">
        <f t="shared" si="9"/>
        <v>7.5</v>
      </c>
      <c r="H33" s="2">
        <f t="shared" si="10"/>
        <v>7.5</v>
      </c>
      <c r="I33" s="2">
        <f t="shared" si="11"/>
        <v>7.5</v>
      </c>
      <c r="J33" s="2">
        <f t="shared" si="12"/>
        <v>7.5</v>
      </c>
      <c r="K33" s="2">
        <f t="shared" si="13"/>
        <v>7.5</v>
      </c>
      <c r="L33" s="2">
        <f t="shared" si="14"/>
        <v>7.5</v>
      </c>
      <c r="M33" s="2">
        <f t="shared" si="15"/>
        <v>7.5</v>
      </c>
      <c r="N33" s="2">
        <f t="shared" si="16"/>
        <v>107.5</v>
      </c>
    </row>
    <row r="34" spans="1:14">
      <c r="C34" s="2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E5AD3-85E2-4A24-AD56-82CFB4533F9E}">
  <sheetPr codeName="Sheet5"/>
  <dimension ref="A1:K312"/>
  <sheetViews>
    <sheetView workbookViewId="0">
      <selection activeCell="G4" sqref="G4"/>
    </sheetView>
  </sheetViews>
  <sheetFormatPr defaultRowHeight="13.2"/>
  <cols>
    <col min="1" max="1" width="10.5546875" bestFit="1" customWidth="1"/>
    <col min="6" max="6" width="14" customWidth="1"/>
  </cols>
  <sheetData>
    <row r="1" spans="1:11" ht="17.399999999999999">
      <c r="A1" s="31" t="s">
        <v>35</v>
      </c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1:11">
      <c r="A2" t="s">
        <v>40</v>
      </c>
      <c r="B2" s="15">
        <v>43738</v>
      </c>
    </row>
    <row r="3" spans="1:11" ht="34.799999999999997" customHeight="1">
      <c r="A3" s="16" t="s">
        <v>5</v>
      </c>
      <c r="B3" s="16" t="s">
        <v>36</v>
      </c>
      <c r="C3" s="17" t="s">
        <v>37</v>
      </c>
      <c r="D3" s="18" t="s">
        <v>38</v>
      </c>
      <c r="E3" s="16" t="s">
        <v>39</v>
      </c>
      <c r="F3" s="17" t="s">
        <v>41</v>
      </c>
    </row>
    <row r="4" spans="1:11" ht="13.8">
      <c r="A4" s="19">
        <v>43753</v>
      </c>
      <c r="B4" s="20">
        <v>1</v>
      </c>
      <c r="C4" s="22">
        <v>99.31</v>
      </c>
      <c r="D4" s="21">
        <v>1.8169999999999999</v>
      </c>
      <c r="E4" s="4">
        <f>COUPDAYBS($B$2,A4,2,1)/COUPDAYS($B$2,A4,2,1)*(B4/2)</f>
        <v>0.45901639344262296</v>
      </c>
      <c r="F4" s="4">
        <f>E4+C4</f>
        <v>99.769016393442627</v>
      </c>
    </row>
    <row r="5" spans="1:11" ht="13.8">
      <c r="A5" s="19">
        <v>43769</v>
      </c>
      <c r="B5" s="20">
        <v>1.25</v>
      </c>
      <c r="C5" s="22">
        <v>99.31</v>
      </c>
      <c r="D5" s="21">
        <v>1.631</v>
      </c>
      <c r="E5" s="4">
        <f t="shared" ref="E5:E68" si="0">COUPDAYBS($B$2,A5,2,1)/COUPDAYS($B$2,A5,2,1)*(B5/2)</f>
        <v>0.51970108695652173</v>
      </c>
      <c r="F5" s="4">
        <f t="shared" ref="F5:F68" si="1">E5+C5</f>
        <v>99.829701086956518</v>
      </c>
    </row>
    <row r="6" spans="1:11" ht="13.8">
      <c r="A6" s="19">
        <v>43769</v>
      </c>
      <c r="B6" s="20">
        <v>1.5</v>
      </c>
      <c r="C6" s="22">
        <v>99.31</v>
      </c>
      <c r="D6" s="21">
        <v>1.88</v>
      </c>
      <c r="E6" s="4">
        <f t="shared" si="0"/>
        <v>0.62364130434782616</v>
      </c>
      <c r="F6" s="4">
        <f t="shared" si="1"/>
        <v>99.93364130434783</v>
      </c>
    </row>
    <row r="7" spans="1:11" ht="13.8">
      <c r="A7" s="19">
        <v>43784</v>
      </c>
      <c r="B7" s="20">
        <v>1</v>
      </c>
      <c r="C7" s="22">
        <v>99.29</v>
      </c>
      <c r="D7" s="21">
        <v>1.768</v>
      </c>
      <c r="E7" s="4">
        <f t="shared" si="0"/>
        <v>0.375</v>
      </c>
      <c r="F7" s="4">
        <f t="shared" si="1"/>
        <v>99.665000000000006</v>
      </c>
    </row>
    <row r="8" spans="1:11" ht="13.8">
      <c r="A8" s="19">
        <v>43784</v>
      </c>
      <c r="B8" s="20">
        <v>3.375</v>
      </c>
      <c r="C8" s="22">
        <v>100.062</v>
      </c>
      <c r="D8" s="21">
        <v>1.758</v>
      </c>
      <c r="E8" s="4">
        <f t="shared" si="0"/>
        <v>1.265625</v>
      </c>
      <c r="F8" s="4">
        <f t="shared" si="1"/>
        <v>101.327625</v>
      </c>
    </row>
    <row r="9" spans="1:11" ht="13.8">
      <c r="A9" s="19">
        <v>43799</v>
      </c>
      <c r="B9" s="20">
        <v>1</v>
      </c>
      <c r="C9" s="22">
        <v>99.274000000000001</v>
      </c>
      <c r="D9" s="21">
        <v>1.86</v>
      </c>
      <c r="E9" s="4">
        <f t="shared" si="0"/>
        <v>0.33333333333333331</v>
      </c>
      <c r="F9" s="4">
        <f t="shared" si="1"/>
        <v>99.60733333333333</v>
      </c>
    </row>
    <row r="10" spans="1:11" ht="13.8">
      <c r="A10" s="19">
        <v>43799</v>
      </c>
      <c r="B10" s="20">
        <v>1.5</v>
      </c>
      <c r="C10" s="22">
        <v>99.3</v>
      </c>
      <c r="D10" s="21">
        <v>1.879</v>
      </c>
      <c r="E10" s="4">
        <f t="shared" si="0"/>
        <v>0.5</v>
      </c>
      <c r="F10" s="4">
        <f t="shared" si="1"/>
        <v>99.8</v>
      </c>
    </row>
    <row r="11" spans="1:11" ht="13.8">
      <c r="A11" s="19">
        <v>43799</v>
      </c>
      <c r="B11" s="20">
        <v>1.75</v>
      </c>
      <c r="C11" s="22">
        <v>99.311999999999998</v>
      </c>
      <c r="D11" s="21">
        <v>1.8879999999999999</v>
      </c>
      <c r="E11" s="4">
        <f t="shared" si="0"/>
        <v>0.58333333333333326</v>
      </c>
      <c r="F11" s="4">
        <f t="shared" si="1"/>
        <v>99.895333333333326</v>
      </c>
    </row>
    <row r="12" spans="1:11" ht="13.8">
      <c r="A12" s="19">
        <v>43814</v>
      </c>
      <c r="B12" s="20">
        <v>1.375</v>
      </c>
      <c r="C12" s="22">
        <v>99.292000000000002</v>
      </c>
      <c r="D12" s="21">
        <v>1.7929999999999999</v>
      </c>
      <c r="E12" s="4">
        <f t="shared" si="0"/>
        <v>0.40198087431693985</v>
      </c>
      <c r="F12" s="4">
        <f t="shared" si="1"/>
        <v>99.693980874316935</v>
      </c>
    </row>
    <row r="13" spans="1:11" ht="13.8">
      <c r="A13" s="19">
        <v>43830</v>
      </c>
      <c r="B13" s="20">
        <v>1.125</v>
      </c>
      <c r="C13" s="22">
        <v>99.262</v>
      </c>
      <c r="D13" s="21">
        <v>1.8540000000000001</v>
      </c>
      <c r="E13" s="4">
        <f t="shared" si="0"/>
        <v>0.28125</v>
      </c>
      <c r="F13" s="4">
        <f t="shared" si="1"/>
        <v>99.54325</v>
      </c>
    </row>
    <row r="14" spans="1:11" ht="13.8">
      <c r="A14" s="19">
        <v>43830</v>
      </c>
      <c r="B14" s="20">
        <v>1.625</v>
      </c>
      <c r="C14" s="22">
        <v>99.3</v>
      </c>
      <c r="D14" s="21">
        <v>1.8759999999999999</v>
      </c>
      <c r="E14" s="4">
        <f t="shared" si="0"/>
        <v>0.40625</v>
      </c>
      <c r="F14" s="4">
        <f t="shared" si="1"/>
        <v>99.706249999999997</v>
      </c>
    </row>
    <row r="15" spans="1:11" ht="13.8">
      <c r="A15" s="19">
        <v>43830</v>
      </c>
      <c r="B15" s="20">
        <v>1.875</v>
      </c>
      <c r="C15" s="22">
        <v>100.002</v>
      </c>
      <c r="D15" s="21">
        <v>1.83</v>
      </c>
      <c r="E15" s="4">
        <f t="shared" si="0"/>
        <v>0.46875</v>
      </c>
      <c r="F15" s="4">
        <f t="shared" si="1"/>
        <v>100.47075</v>
      </c>
    </row>
    <row r="16" spans="1:11" ht="13.8">
      <c r="A16" s="19">
        <v>43845</v>
      </c>
      <c r="B16" s="20">
        <v>1.375</v>
      </c>
      <c r="C16" s="22">
        <v>99.28</v>
      </c>
      <c r="D16" s="21">
        <v>1.8089999999999999</v>
      </c>
      <c r="E16" s="4">
        <f t="shared" si="0"/>
        <v>0.28770380434782611</v>
      </c>
      <c r="F16" s="4">
        <f t="shared" si="1"/>
        <v>99.567703804347829</v>
      </c>
    </row>
    <row r="17" spans="1:6" ht="13.8">
      <c r="A17" s="19">
        <v>43861</v>
      </c>
      <c r="B17" s="20">
        <v>1.25</v>
      </c>
      <c r="C17" s="22">
        <v>99.256</v>
      </c>
      <c r="D17" s="21">
        <v>1.8420000000000001</v>
      </c>
      <c r="E17" s="4">
        <f t="shared" si="0"/>
        <v>0.20720108695652173</v>
      </c>
      <c r="F17" s="4">
        <f t="shared" si="1"/>
        <v>99.463201086956516</v>
      </c>
    </row>
    <row r="18" spans="1:6" ht="13.8">
      <c r="A18" s="19">
        <v>43861</v>
      </c>
      <c r="B18" s="20">
        <v>1.375</v>
      </c>
      <c r="C18" s="22">
        <v>99.266000000000005</v>
      </c>
      <c r="D18" s="21">
        <v>1.8720000000000001</v>
      </c>
      <c r="E18" s="4">
        <f t="shared" si="0"/>
        <v>0.22792119565217389</v>
      </c>
      <c r="F18" s="4">
        <f t="shared" si="1"/>
        <v>99.493921195652177</v>
      </c>
    </row>
    <row r="19" spans="1:6" ht="13.8">
      <c r="A19" s="19">
        <v>43861</v>
      </c>
      <c r="B19" s="20">
        <v>2</v>
      </c>
      <c r="C19" s="22">
        <v>100.014</v>
      </c>
      <c r="D19" s="21">
        <v>1.8540000000000001</v>
      </c>
      <c r="E19" s="4">
        <f t="shared" si="0"/>
        <v>0.33152173913043476</v>
      </c>
      <c r="F19" s="4">
        <f t="shared" si="1"/>
        <v>100.34552173913043</v>
      </c>
    </row>
    <row r="20" spans="1:6" ht="13.8">
      <c r="A20" s="19">
        <v>43876</v>
      </c>
      <c r="B20" s="20">
        <v>1.375</v>
      </c>
      <c r="C20" s="22">
        <v>99.26</v>
      </c>
      <c r="D20" s="21">
        <v>1.881</v>
      </c>
      <c r="E20" s="4">
        <f t="shared" si="0"/>
        <v>0.171875</v>
      </c>
      <c r="F20" s="4">
        <f t="shared" si="1"/>
        <v>99.431875000000005</v>
      </c>
    </row>
    <row r="21" spans="1:6" ht="13.8">
      <c r="A21" s="19">
        <v>43876</v>
      </c>
      <c r="B21" s="20">
        <v>3.625</v>
      </c>
      <c r="C21" s="22">
        <v>100.20399999999999</v>
      </c>
      <c r="D21" s="21">
        <v>1.8859999999999999</v>
      </c>
      <c r="E21" s="4">
        <f t="shared" si="0"/>
        <v>0.453125</v>
      </c>
      <c r="F21" s="4">
        <f t="shared" si="1"/>
        <v>100.65712499999999</v>
      </c>
    </row>
    <row r="22" spans="1:6" ht="13.8">
      <c r="A22" s="19">
        <v>43876</v>
      </c>
      <c r="B22" s="20">
        <v>8.5</v>
      </c>
      <c r="C22" s="22">
        <v>102.154</v>
      </c>
      <c r="D22" s="21">
        <v>1.766</v>
      </c>
      <c r="E22" s="4">
        <f t="shared" si="0"/>
        <v>1.0625</v>
      </c>
      <c r="F22" s="4">
        <f t="shared" si="1"/>
        <v>103.2165</v>
      </c>
    </row>
    <row r="23" spans="1:6" ht="13.8">
      <c r="A23" s="19">
        <v>43890</v>
      </c>
      <c r="B23" s="20">
        <v>1.25</v>
      </c>
      <c r="C23" s="22">
        <v>99.244</v>
      </c>
      <c r="D23" s="21">
        <v>1.819</v>
      </c>
      <c r="E23" s="4">
        <f t="shared" si="0"/>
        <v>0.10302197802197802</v>
      </c>
      <c r="F23" s="4">
        <f t="shared" si="1"/>
        <v>99.347021978021971</v>
      </c>
    </row>
    <row r="24" spans="1:6" ht="13.8">
      <c r="A24" s="19">
        <v>43890</v>
      </c>
      <c r="B24" s="20">
        <v>1.375</v>
      </c>
      <c r="C24" s="22">
        <v>99.256</v>
      </c>
      <c r="D24" s="21">
        <v>1.849</v>
      </c>
      <c r="E24" s="4">
        <f t="shared" si="0"/>
        <v>0.11332417582417582</v>
      </c>
      <c r="F24" s="4">
        <f t="shared" si="1"/>
        <v>99.369324175824175</v>
      </c>
    </row>
    <row r="25" spans="1:6" ht="13.8">
      <c r="A25" s="19">
        <v>43890</v>
      </c>
      <c r="B25" s="20">
        <v>2.25</v>
      </c>
      <c r="C25" s="22">
        <v>100.056</v>
      </c>
      <c r="D25" s="21">
        <v>1.8120000000000001</v>
      </c>
      <c r="E25" s="4">
        <f t="shared" si="0"/>
        <v>0.18543956043956045</v>
      </c>
      <c r="F25" s="4">
        <f t="shared" si="1"/>
        <v>100.24143956043956</v>
      </c>
    </row>
    <row r="26" spans="1:6" ht="13.8">
      <c r="A26" s="19">
        <v>43905</v>
      </c>
      <c r="B26" s="20">
        <v>1.625</v>
      </c>
      <c r="C26" s="22">
        <v>99.293999999999997</v>
      </c>
      <c r="D26" s="21">
        <v>1.7969999999999999</v>
      </c>
      <c r="E26" s="4">
        <f t="shared" si="0"/>
        <v>6.6964285714285712E-2</v>
      </c>
      <c r="F26" s="4">
        <f t="shared" si="1"/>
        <v>99.360964285714289</v>
      </c>
    </row>
    <row r="27" spans="1:6" ht="13.8">
      <c r="A27" s="19">
        <v>43921</v>
      </c>
      <c r="B27" s="20">
        <v>1.125</v>
      </c>
      <c r="C27" s="22">
        <v>99.21</v>
      </c>
      <c r="D27" s="21">
        <v>1.823</v>
      </c>
      <c r="E27" s="4">
        <f t="shared" si="0"/>
        <v>0</v>
      </c>
      <c r="F27" s="4">
        <f t="shared" si="1"/>
        <v>99.21</v>
      </c>
    </row>
    <row r="28" spans="1:6" ht="13.8">
      <c r="A28" s="19">
        <v>43921</v>
      </c>
      <c r="B28" s="20">
        <v>1.375</v>
      </c>
      <c r="C28" s="22">
        <v>99.245999999999995</v>
      </c>
      <c r="D28" s="21">
        <v>1.835</v>
      </c>
      <c r="E28" s="4">
        <f t="shared" si="0"/>
        <v>0</v>
      </c>
      <c r="F28" s="4">
        <f t="shared" si="1"/>
        <v>99.245999999999995</v>
      </c>
    </row>
    <row r="29" spans="1:6" ht="13.8">
      <c r="A29" s="19">
        <v>43921</v>
      </c>
      <c r="B29" s="20">
        <v>2.25</v>
      </c>
      <c r="C29" s="22">
        <v>100.066</v>
      </c>
      <c r="D29" s="21">
        <v>1.8220000000000001</v>
      </c>
      <c r="E29" s="4">
        <f t="shared" si="0"/>
        <v>0</v>
      </c>
      <c r="F29" s="4">
        <f t="shared" si="1"/>
        <v>100.066</v>
      </c>
    </row>
    <row r="30" spans="1:6" ht="13.8">
      <c r="A30" s="19">
        <v>43951</v>
      </c>
      <c r="B30" s="20">
        <v>1.125</v>
      </c>
      <c r="C30" s="22">
        <v>99.191999999999993</v>
      </c>
      <c r="D30" s="21">
        <v>1.8160000000000001</v>
      </c>
      <c r="E30" s="4">
        <f t="shared" si="0"/>
        <v>0.47028688524590168</v>
      </c>
      <c r="F30" s="4">
        <f t="shared" si="1"/>
        <v>99.662286885245891</v>
      </c>
    </row>
    <row r="31" spans="1:6" ht="13.8">
      <c r="A31" s="19">
        <v>43951</v>
      </c>
      <c r="B31" s="20">
        <v>1.375</v>
      </c>
      <c r="C31" s="22">
        <v>99.231999999999999</v>
      </c>
      <c r="D31" s="21">
        <v>1.849</v>
      </c>
      <c r="E31" s="4">
        <f t="shared" si="0"/>
        <v>0.57479508196721318</v>
      </c>
      <c r="F31" s="4">
        <f t="shared" si="1"/>
        <v>99.806795081967209</v>
      </c>
    </row>
    <row r="32" spans="1:6" ht="13.8">
      <c r="A32" s="19">
        <v>43951</v>
      </c>
      <c r="B32" s="20">
        <v>2.375</v>
      </c>
      <c r="C32" s="22">
        <v>100.096</v>
      </c>
      <c r="D32" s="21">
        <v>1.845</v>
      </c>
      <c r="E32" s="4">
        <f t="shared" si="0"/>
        <v>0.99282786885245911</v>
      </c>
      <c r="F32" s="4">
        <f t="shared" si="1"/>
        <v>101.08882786885246</v>
      </c>
    </row>
    <row r="33" spans="1:6" ht="13.8">
      <c r="A33" s="19">
        <v>43966</v>
      </c>
      <c r="B33" s="20">
        <v>1.5</v>
      </c>
      <c r="C33" s="22">
        <v>99.254000000000005</v>
      </c>
      <c r="D33" s="21">
        <v>1.829</v>
      </c>
      <c r="E33" s="4">
        <f t="shared" si="0"/>
        <v>0.5625</v>
      </c>
      <c r="F33" s="4">
        <f t="shared" si="1"/>
        <v>99.816500000000005</v>
      </c>
    </row>
    <row r="34" spans="1:6" ht="13.8">
      <c r="A34" s="19">
        <v>43966</v>
      </c>
      <c r="B34" s="20">
        <v>3.5</v>
      </c>
      <c r="C34" s="22">
        <v>101.01</v>
      </c>
      <c r="D34" s="21">
        <v>1.823</v>
      </c>
      <c r="E34" s="4">
        <f t="shared" si="0"/>
        <v>1.3125</v>
      </c>
      <c r="F34" s="4">
        <f t="shared" si="1"/>
        <v>102.32250000000001</v>
      </c>
    </row>
    <row r="35" spans="1:6" ht="13.8">
      <c r="A35" s="19">
        <v>43966</v>
      </c>
      <c r="B35" s="20">
        <v>8.75</v>
      </c>
      <c r="C35" s="22">
        <v>104.096</v>
      </c>
      <c r="D35" s="21">
        <v>1.758</v>
      </c>
      <c r="E35" s="4">
        <f t="shared" si="0"/>
        <v>3.28125</v>
      </c>
      <c r="F35" s="4">
        <f t="shared" si="1"/>
        <v>107.37725</v>
      </c>
    </row>
    <row r="36" spans="1:6" ht="13.8">
      <c r="A36" s="19">
        <v>43982</v>
      </c>
      <c r="B36" s="20">
        <v>1.375</v>
      </c>
      <c r="C36" s="22">
        <v>99.22</v>
      </c>
      <c r="D36" s="21">
        <v>1.85</v>
      </c>
      <c r="E36" s="4">
        <f t="shared" si="0"/>
        <v>0.45833333333333331</v>
      </c>
      <c r="F36" s="4">
        <f t="shared" si="1"/>
        <v>99.678333333333327</v>
      </c>
    </row>
    <row r="37" spans="1:6" ht="13.8">
      <c r="A37" s="19">
        <v>43982</v>
      </c>
      <c r="B37" s="20">
        <v>1.5</v>
      </c>
      <c r="C37" s="22">
        <v>99.25</v>
      </c>
      <c r="D37" s="21">
        <v>1.8320000000000001</v>
      </c>
      <c r="E37" s="4">
        <f t="shared" si="0"/>
        <v>0.5</v>
      </c>
      <c r="F37" s="4">
        <f t="shared" si="1"/>
        <v>99.75</v>
      </c>
    </row>
    <row r="38" spans="1:6" ht="13.8">
      <c r="A38" s="19">
        <v>43982</v>
      </c>
      <c r="B38" s="20">
        <v>2.5</v>
      </c>
      <c r="C38" s="22">
        <v>100.136</v>
      </c>
      <c r="D38" s="21">
        <v>1.8440000000000001</v>
      </c>
      <c r="E38" s="4">
        <f t="shared" si="0"/>
        <v>0.83333333333333326</v>
      </c>
      <c r="F38" s="4">
        <f t="shared" si="1"/>
        <v>100.96933333333332</v>
      </c>
    </row>
    <row r="39" spans="1:6" ht="13.8">
      <c r="A39" s="19">
        <v>43997</v>
      </c>
      <c r="B39" s="20">
        <v>1.5</v>
      </c>
      <c r="C39" s="22">
        <v>99.245999999999995</v>
      </c>
      <c r="D39" s="21">
        <v>1.8240000000000001</v>
      </c>
      <c r="E39" s="4">
        <f t="shared" si="0"/>
        <v>0.43852459016393441</v>
      </c>
      <c r="F39" s="4">
        <f t="shared" si="1"/>
        <v>99.684524590163932</v>
      </c>
    </row>
    <row r="40" spans="1:6" ht="13.8">
      <c r="A40" s="19">
        <v>44012</v>
      </c>
      <c r="B40" s="20">
        <v>1.625</v>
      </c>
      <c r="C40" s="22">
        <v>99.27</v>
      </c>
      <c r="D40" s="21">
        <v>1.835</v>
      </c>
      <c r="E40" s="4">
        <f t="shared" si="0"/>
        <v>0.40846994535519127</v>
      </c>
      <c r="F40" s="4">
        <f t="shared" si="1"/>
        <v>99.678469945355189</v>
      </c>
    </row>
    <row r="41" spans="1:6" ht="13.8">
      <c r="A41" s="19">
        <v>44012</v>
      </c>
      <c r="B41" s="20">
        <v>1.875</v>
      </c>
      <c r="C41" s="22">
        <v>100.012</v>
      </c>
      <c r="D41" s="21">
        <v>1.821</v>
      </c>
      <c r="E41" s="4">
        <f t="shared" si="0"/>
        <v>0.47131147540983609</v>
      </c>
      <c r="F41" s="4">
        <f t="shared" si="1"/>
        <v>100.48331147540983</v>
      </c>
    </row>
    <row r="42" spans="1:6" ht="13.8">
      <c r="A42" s="19">
        <v>44012</v>
      </c>
      <c r="B42" s="20">
        <v>2.5</v>
      </c>
      <c r="C42" s="22">
        <v>100.15600000000001</v>
      </c>
      <c r="D42" s="21">
        <v>1.8320000000000001</v>
      </c>
      <c r="E42" s="4">
        <f t="shared" si="0"/>
        <v>0.62841530054644812</v>
      </c>
      <c r="F42" s="4">
        <f t="shared" si="1"/>
        <v>100.78441530054646</v>
      </c>
    </row>
    <row r="43" spans="1:6" ht="13.8">
      <c r="A43" s="19">
        <v>44027</v>
      </c>
      <c r="B43" s="20">
        <v>1.5</v>
      </c>
      <c r="C43" s="22">
        <v>99.24</v>
      </c>
      <c r="D43" s="21">
        <v>1.82</v>
      </c>
      <c r="E43" s="4">
        <f t="shared" si="0"/>
        <v>0.31385869565217395</v>
      </c>
      <c r="F43" s="4">
        <f t="shared" si="1"/>
        <v>99.553858695652167</v>
      </c>
    </row>
    <row r="44" spans="1:6" ht="13.8">
      <c r="A44" s="19">
        <v>44043</v>
      </c>
      <c r="B44" s="20">
        <v>1.625</v>
      </c>
      <c r="C44" s="22">
        <v>99.263999999999996</v>
      </c>
      <c r="D44" s="21">
        <v>1.833</v>
      </c>
      <c r="E44" s="4">
        <f t="shared" si="0"/>
        <v>0.26936141304347822</v>
      </c>
      <c r="F44" s="4">
        <f t="shared" si="1"/>
        <v>99.53336141304348</v>
      </c>
    </row>
    <row r="45" spans="1:6" ht="13.8">
      <c r="A45" s="19">
        <v>44043</v>
      </c>
      <c r="B45" s="20">
        <v>2</v>
      </c>
      <c r="C45" s="22">
        <v>100.042</v>
      </c>
      <c r="D45" s="21">
        <v>1.837</v>
      </c>
      <c r="E45" s="4">
        <f t="shared" si="0"/>
        <v>0.33152173913043476</v>
      </c>
      <c r="F45" s="4">
        <f t="shared" si="1"/>
        <v>100.37352173913044</v>
      </c>
    </row>
    <row r="46" spans="1:6" ht="13.8">
      <c r="A46" s="19">
        <v>44043</v>
      </c>
      <c r="B46" s="20">
        <v>2.625</v>
      </c>
      <c r="C46" s="22">
        <v>100.206</v>
      </c>
      <c r="D46" s="21">
        <v>1.8340000000000001</v>
      </c>
      <c r="E46" s="4">
        <f t="shared" si="0"/>
        <v>0.43512228260869562</v>
      </c>
      <c r="F46" s="4">
        <f t="shared" si="1"/>
        <v>100.64112228260871</v>
      </c>
    </row>
    <row r="47" spans="1:6" ht="13.8">
      <c r="A47" s="19">
        <v>44058</v>
      </c>
      <c r="B47" s="20">
        <v>1.5</v>
      </c>
      <c r="C47" s="22">
        <v>99.231999999999999</v>
      </c>
      <c r="D47" s="21">
        <v>1.8169999999999999</v>
      </c>
      <c r="E47" s="4">
        <f t="shared" si="0"/>
        <v>0.1875</v>
      </c>
      <c r="F47" s="4">
        <f t="shared" si="1"/>
        <v>99.419499999999999</v>
      </c>
    </row>
    <row r="48" spans="1:6" ht="13.8">
      <c r="A48" s="19">
        <v>44058</v>
      </c>
      <c r="B48" s="20">
        <v>2.625</v>
      </c>
      <c r="C48" s="22">
        <v>100.214</v>
      </c>
      <c r="D48" s="21">
        <v>1.8440000000000001</v>
      </c>
      <c r="E48" s="4">
        <f t="shared" si="0"/>
        <v>0.328125</v>
      </c>
      <c r="F48" s="4">
        <f t="shared" si="1"/>
        <v>100.542125</v>
      </c>
    </row>
    <row r="49" spans="1:6" ht="13.8">
      <c r="A49" s="19">
        <v>44058</v>
      </c>
      <c r="B49" s="20">
        <v>8.75</v>
      </c>
      <c r="C49" s="22">
        <v>105.286</v>
      </c>
      <c r="D49" s="21">
        <v>1.895</v>
      </c>
      <c r="E49" s="4">
        <f t="shared" si="0"/>
        <v>1.09375</v>
      </c>
      <c r="F49" s="4">
        <f t="shared" si="1"/>
        <v>106.37975</v>
      </c>
    </row>
    <row r="50" spans="1:6" ht="13.8">
      <c r="A50" s="19">
        <v>44074</v>
      </c>
      <c r="B50" s="20">
        <v>1.375</v>
      </c>
      <c r="C50" s="22">
        <v>99.19</v>
      </c>
      <c r="D50" s="21">
        <v>1.8240000000000001</v>
      </c>
      <c r="E50" s="4">
        <f t="shared" si="0"/>
        <v>0.11332417582417582</v>
      </c>
      <c r="F50" s="4">
        <f t="shared" si="1"/>
        <v>99.303324175824173</v>
      </c>
    </row>
    <row r="51" spans="1:6" ht="13.8">
      <c r="A51" s="19">
        <v>44074</v>
      </c>
      <c r="B51" s="20">
        <v>2.125</v>
      </c>
      <c r="C51" s="22">
        <v>100.084</v>
      </c>
      <c r="D51" s="21">
        <v>1.83</v>
      </c>
      <c r="E51" s="4">
        <f t="shared" si="0"/>
        <v>0.17513736263736263</v>
      </c>
      <c r="F51" s="4">
        <f t="shared" si="1"/>
        <v>100.25913736263736</v>
      </c>
    </row>
    <row r="52" spans="1:6" ht="13.8">
      <c r="A52" s="19">
        <v>44074</v>
      </c>
      <c r="B52" s="20">
        <v>2.625</v>
      </c>
      <c r="C52" s="22">
        <v>100.23399999999999</v>
      </c>
      <c r="D52" s="21">
        <v>1.8109999999999999</v>
      </c>
      <c r="E52" s="4">
        <f t="shared" si="0"/>
        <v>0.21634615384615385</v>
      </c>
      <c r="F52" s="4">
        <f t="shared" si="1"/>
        <v>100.45034615384616</v>
      </c>
    </row>
    <row r="53" spans="1:6" ht="13.8">
      <c r="A53" s="19">
        <v>44089</v>
      </c>
      <c r="B53" s="20">
        <v>1.375</v>
      </c>
      <c r="C53" s="22">
        <v>99.21</v>
      </c>
      <c r="D53" s="21">
        <v>1.7390000000000001</v>
      </c>
      <c r="E53" s="4">
        <f t="shared" si="0"/>
        <v>5.6662087912087912E-2</v>
      </c>
      <c r="F53" s="4">
        <f t="shared" si="1"/>
        <v>99.266662087912081</v>
      </c>
    </row>
    <row r="54" spans="1:6" ht="13.8">
      <c r="A54" s="19">
        <v>44104</v>
      </c>
      <c r="B54" s="20">
        <v>1.375</v>
      </c>
      <c r="C54" s="22">
        <v>99.191999999999993</v>
      </c>
      <c r="D54" s="21">
        <v>1.78</v>
      </c>
      <c r="E54" s="4">
        <f t="shared" si="0"/>
        <v>0</v>
      </c>
      <c r="F54" s="4">
        <f t="shared" si="1"/>
        <v>99.191999999999993</v>
      </c>
    </row>
    <row r="55" spans="1:6" ht="13.8">
      <c r="A55" s="19">
        <v>44104</v>
      </c>
      <c r="B55" s="20">
        <v>2</v>
      </c>
      <c r="C55" s="22">
        <v>100.066</v>
      </c>
      <c r="D55" s="21">
        <v>1.786</v>
      </c>
      <c r="E55" s="4">
        <f t="shared" si="0"/>
        <v>0</v>
      </c>
      <c r="F55" s="4">
        <f t="shared" si="1"/>
        <v>100.066</v>
      </c>
    </row>
    <row r="56" spans="1:6" ht="13.8">
      <c r="A56" s="19">
        <v>44104</v>
      </c>
      <c r="B56" s="20">
        <v>2.75</v>
      </c>
      <c r="C56" s="22">
        <v>100.30200000000001</v>
      </c>
      <c r="D56" s="21">
        <v>1.7889999999999999</v>
      </c>
      <c r="E56" s="4">
        <f t="shared" si="0"/>
        <v>0</v>
      </c>
      <c r="F56" s="4">
        <f t="shared" si="1"/>
        <v>100.30200000000001</v>
      </c>
    </row>
    <row r="57" spans="1:6" ht="13.8">
      <c r="A57" s="19">
        <v>44119</v>
      </c>
      <c r="B57" s="20">
        <v>1.625</v>
      </c>
      <c r="C57" s="22">
        <v>99.266000000000005</v>
      </c>
      <c r="D57" s="21">
        <v>1.7849999999999999</v>
      </c>
      <c r="E57" s="4">
        <f t="shared" si="0"/>
        <v>0.74590163934426235</v>
      </c>
      <c r="F57" s="4">
        <f t="shared" si="1"/>
        <v>100.01190163934427</v>
      </c>
    </row>
    <row r="58" spans="1:6" ht="13.8">
      <c r="A58" s="19">
        <v>44135</v>
      </c>
      <c r="B58" s="20">
        <v>1.375</v>
      </c>
      <c r="C58" s="22">
        <v>99.182000000000002</v>
      </c>
      <c r="D58" s="21">
        <v>1.778</v>
      </c>
      <c r="E58" s="4">
        <f t="shared" si="0"/>
        <v>0.57479508196721318</v>
      </c>
      <c r="F58" s="4">
        <f t="shared" si="1"/>
        <v>99.756795081967212</v>
      </c>
    </row>
    <row r="59" spans="1:6" ht="13.8">
      <c r="A59" s="19">
        <v>44135</v>
      </c>
      <c r="B59" s="20">
        <v>1.75</v>
      </c>
      <c r="C59" s="22">
        <v>99.31</v>
      </c>
      <c r="D59" s="21">
        <v>1.7789999999999999</v>
      </c>
      <c r="E59" s="4">
        <f t="shared" si="0"/>
        <v>0.73155737704918034</v>
      </c>
      <c r="F59" s="4">
        <f t="shared" si="1"/>
        <v>100.04155737704919</v>
      </c>
    </row>
    <row r="60" spans="1:6" ht="13.8">
      <c r="A60" s="19">
        <v>44135</v>
      </c>
      <c r="B60" s="20">
        <v>2.875</v>
      </c>
      <c r="C60" s="22">
        <v>101.05</v>
      </c>
      <c r="D60" s="21">
        <v>1.79</v>
      </c>
      <c r="E60" s="4">
        <f t="shared" si="0"/>
        <v>1.201844262295082</v>
      </c>
      <c r="F60" s="4">
        <f t="shared" si="1"/>
        <v>102.25184426229508</v>
      </c>
    </row>
    <row r="61" spans="1:6" ht="13.8">
      <c r="A61" s="19">
        <v>44150</v>
      </c>
      <c r="B61" s="20">
        <v>1.75</v>
      </c>
      <c r="C61" s="22">
        <v>99.31</v>
      </c>
      <c r="D61" s="21">
        <v>1.778</v>
      </c>
      <c r="E61" s="4">
        <f t="shared" si="0"/>
        <v>0.65625</v>
      </c>
      <c r="F61" s="4">
        <f t="shared" si="1"/>
        <v>99.966250000000002</v>
      </c>
    </row>
    <row r="62" spans="1:6" ht="13.8">
      <c r="A62" s="19">
        <v>44150</v>
      </c>
      <c r="B62" s="20">
        <v>2.625</v>
      </c>
      <c r="C62" s="22">
        <v>100.29600000000001</v>
      </c>
      <c r="D62" s="21">
        <v>1.784</v>
      </c>
      <c r="E62" s="4">
        <f t="shared" si="0"/>
        <v>0.984375</v>
      </c>
      <c r="F62" s="4">
        <f t="shared" si="1"/>
        <v>101.28037500000001</v>
      </c>
    </row>
    <row r="63" spans="1:6" ht="13.8">
      <c r="A63" s="19">
        <v>44165</v>
      </c>
      <c r="B63" s="20">
        <v>1.625</v>
      </c>
      <c r="C63" s="22">
        <v>99.266000000000005</v>
      </c>
      <c r="D63" s="21">
        <v>1.7669999999999999</v>
      </c>
      <c r="E63" s="4">
        <f t="shared" si="0"/>
        <v>0.54166666666666663</v>
      </c>
      <c r="F63" s="4">
        <f t="shared" si="1"/>
        <v>99.807666666666677</v>
      </c>
    </row>
    <row r="64" spans="1:6" ht="13.8">
      <c r="A64" s="19">
        <v>44165</v>
      </c>
      <c r="B64" s="20">
        <v>2</v>
      </c>
      <c r="C64" s="22">
        <v>100.08199999999999</v>
      </c>
      <c r="D64" s="21">
        <v>1.774</v>
      </c>
      <c r="E64" s="4">
        <f t="shared" si="0"/>
        <v>0.66666666666666663</v>
      </c>
      <c r="F64" s="4">
        <f t="shared" si="1"/>
        <v>100.74866666666667</v>
      </c>
    </row>
    <row r="65" spans="1:6" ht="13.8">
      <c r="A65" s="19">
        <v>44165</v>
      </c>
      <c r="B65" s="20">
        <v>2.75</v>
      </c>
      <c r="C65" s="22">
        <v>101.03400000000001</v>
      </c>
      <c r="D65" s="21">
        <v>1.782</v>
      </c>
      <c r="E65" s="4">
        <f t="shared" si="0"/>
        <v>0.91666666666666663</v>
      </c>
      <c r="F65" s="4">
        <f t="shared" si="1"/>
        <v>101.95066666666668</v>
      </c>
    </row>
    <row r="66" spans="1:6" ht="13.8">
      <c r="A66" s="19">
        <v>44180</v>
      </c>
      <c r="B66" s="20">
        <v>1.875</v>
      </c>
      <c r="C66" s="22">
        <v>100.04</v>
      </c>
      <c r="D66" s="21">
        <v>1.7689999999999999</v>
      </c>
      <c r="E66" s="4">
        <f t="shared" si="0"/>
        <v>0.54815573770491799</v>
      </c>
      <c r="F66" s="4">
        <f t="shared" si="1"/>
        <v>100.58815573770492</v>
      </c>
    </row>
    <row r="67" spans="1:6" ht="13.8">
      <c r="A67" s="19">
        <v>44196</v>
      </c>
      <c r="B67" s="20">
        <v>1.75</v>
      </c>
      <c r="C67" s="22">
        <v>99.304000000000002</v>
      </c>
      <c r="D67" s="21">
        <v>1.7869999999999999</v>
      </c>
      <c r="E67" s="4">
        <f t="shared" si="0"/>
        <v>0.43989071038251365</v>
      </c>
      <c r="F67" s="4">
        <f t="shared" si="1"/>
        <v>99.743890710382516</v>
      </c>
    </row>
    <row r="68" spans="1:6" ht="13.8">
      <c r="A68" s="19">
        <v>44196</v>
      </c>
      <c r="B68" s="20">
        <v>2.375</v>
      </c>
      <c r="C68" s="22">
        <v>100.24</v>
      </c>
      <c r="D68" s="21">
        <v>1.7629999999999999</v>
      </c>
      <c r="E68" s="4">
        <f t="shared" si="0"/>
        <v>0.59699453551912574</v>
      </c>
      <c r="F68" s="4">
        <f t="shared" si="1"/>
        <v>100.83699453551912</v>
      </c>
    </row>
    <row r="69" spans="1:6" ht="13.8">
      <c r="A69" s="19">
        <v>44196</v>
      </c>
      <c r="B69" s="20">
        <v>2.5</v>
      </c>
      <c r="C69" s="22">
        <v>100.286</v>
      </c>
      <c r="D69" s="21">
        <v>1.7669999999999999</v>
      </c>
      <c r="E69" s="4">
        <f t="shared" ref="E69:E132" si="2">COUPDAYBS($B$2,A69,2,1)/COUPDAYS($B$2,A69,2,1)*(B69/2)</f>
        <v>0.62841530054644812</v>
      </c>
      <c r="F69" s="4">
        <f t="shared" ref="F69:F132" si="3">E69+C69</f>
        <v>100.91441530054645</v>
      </c>
    </row>
    <row r="70" spans="1:6" ht="13.8">
      <c r="A70" s="19">
        <v>44211</v>
      </c>
      <c r="B70" s="20">
        <v>2</v>
      </c>
      <c r="C70" s="22">
        <v>100.096</v>
      </c>
      <c r="D70" s="21">
        <v>1.7589999999999999</v>
      </c>
      <c r="E70" s="4">
        <f t="shared" si="2"/>
        <v>0.41847826086956524</v>
      </c>
      <c r="F70" s="4">
        <f t="shared" si="3"/>
        <v>100.51447826086957</v>
      </c>
    </row>
    <row r="71" spans="1:6" ht="13.8">
      <c r="A71" s="19">
        <v>44227</v>
      </c>
      <c r="B71" s="20">
        <v>1.375</v>
      </c>
      <c r="C71" s="22">
        <v>99.16</v>
      </c>
      <c r="D71" s="21">
        <v>1.756</v>
      </c>
      <c r="E71" s="4">
        <f t="shared" si="2"/>
        <v>0.22792119565217389</v>
      </c>
      <c r="F71" s="4">
        <f t="shared" si="3"/>
        <v>99.387921195652169</v>
      </c>
    </row>
    <row r="72" spans="1:6" ht="13.8">
      <c r="A72" s="19">
        <v>44227</v>
      </c>
      <c r="B72" s="20">
        <v>2.125</v>
      </c>
      <c r="C72" s="22">
        <v>100.154</v>
      </c>
      <c r="D72" s="21">
        <v>1.7549999999999999</v>
      </c>
      <c r="E72" s="4">
        <f t="shared" si="2"/>
        <v>0.35224184782608692</v>
      </c>
      <c r="F72" s="4">
        <f t="shared" si="3"/>
        <v>100.50624184782609</v>
      </c>
    </row>
    <row r="73" spans="1:6" ht="13.8">
      <c r="A73" s="19">
        <v>44227</v>
      </c>
      <c r="B73" s="20">
        <v>2.5</v>
      </c>
      <c r="C73" s="22">
        <v>100.312</v>
      </c>
      <c r="D73" s="21">
        <v>1.754</v>
      </c>
      <c r="E73" s="4">
        <f t="shared" si="2"/>
        <v>0.41440217391304346</v>
      </c>
      <c r="F73" s="4">
        <f t="shared" si="3"/>
        <v>100.72640217391304</v>
      </c>
    </row>
    <row r="74" spans="1:6" ht="13.8">
      <c r="A74" s="19">
        <v>44242</v>
      </c>
      <c r="B74" s="20">
        <v>2.25</v>
      </c>
      <c r="C74" s="22">
        <v>100.22</v>
      </c>
      <c r="D74" s="21">
        <v>1.74</v>
      </c>
      <c r="E74" s="4">
        <f t="shared" si="2"/>
        <v>0.28125</v>
      </c>
      <c r="F74" s="4">
        <f t="shared" si="3"/>
        <v>100.50125</v>
      </c>
    </row>
    <row r="75" spans="1:6" ht="13.8">
      <c r="A75" s="19">
        <v>44242</v>
      </c>
      <c r="B75" s="20">
        <v>3.625</v>
      </c>
      <c r="C75" s="22">
        <v>102.176</v>
      </c>
      <c r="D75" s="21">
        <v>1.732</v>
      </c>
      <c r="E75" s="4">
        <f t="shared" si="2"/>
        <v>0.453125</v>
      </c>
      <c r="F75" s="4">
        <f t="shared" si="3"/>
        <v>102.629125</v>
      </c>
    </row>
    <row r="76" spans="1:6" ht="13.8">
      <c r="A76" s="19">
        <v>44242</v>
      </c>
      <c r="B76" s="20">
        <v>7.875</v>
      </c>
      <c r="C76" s="22">
        <v>108.086</v>
      </c>
      <c r="D76" s="21">
        <v>1.7450000000000001</v>
      </c>
      <c r="E76" s="4">
        <f t="shared" si="2"/>
        <v>0.984375</v>
      </c>
      <c r="F76" s="4">
        <f t="shared" si="3"/>
        <v>109.070375</v>
      </c>
    </row>
    <row r="77" spans="1:6" ht="13.8">
      <c r="A77" s="19">
        <v>44255</v>
      </c>
      <c r="B77" s="20">
        <v>1.125</v>
      </c>
      <c r="C77" s="22">
        <v>99.052000000000007</v>
      </c>
      <c r="D77" s="21">
        <v>1.7250000000000001</v>
      </c>
      <c r="E77" s="4">
        <f t="shared" si="2"/>
        <v>9.1711956521739135E-2</v>
      </c>
      <c r="F77" s="4">
        <f t="shared" si="3"/>
        <v>99.143711956521742</v>
      </c>
    </row>
    <row r="78" spans="1:6" ht="13.8">
      <c r="A78" s="19">
        <v>44255</v>
      </c>
      <c r="B78" s="20">
        <v>2</v>
      </c>
      <c r="C78" s="22">
        <v>100.124</v>
      </c>
      <c r="D78" s="21">
        <v>1.7190000000000001</v>
      </c>
      <c r="E78" s="4">
        <f t="shared" si="2"/>
        <v>0.16304347826086957</v>
      </c>
      <c r="F78" s="4">
        <f t="shared" si="3"/>
        <v>100.28704347826087</v>
      </c>
    </row>
    <row r="79" spans="1:6" ht="13.8">
      <c r="A79" s="19">
        <v>44255</v>
      </c>
      <c r="B79" s="20">
        <v>2.5</v>
      </c>
      <c r="C79" s="22">
        <v>101.02200000000001</v>
      </c>
      <c r="D79" s="21">
        <v>1.73</v>
      </c>
      <c r="E79" s="4">
        <f t="shared" si="2"/>
        <v>0.20380434782608697</v>
      </c>
      <c r="F79" s="4">
        <f t="shared" si="3"/>
        <v>101.2258043478261</v>
      </c>
    </row>
    <row r="80" spans="1:6" ht="13.8">
      <c r="A80" s="19">
        <v>44270</v>
      </c>
      <c r="B80" s="20">
        <v>2.375</v>
      </c>
      <c r="C80" s="22">
        <v>100.29600000000001</v>
      </c>
      <c r="D80" s="21">
        <v>1.7250000000000001</v>
      </c>
      <c r="E80" s="4">
        <f t="shared" si="2"/>
        <v>9.787087912087912E-2</v>
      </c>
      <c r="F80" s="4">
        <f t="shared" si="3"/>
        <v>100.39387087912088</v>
      </c>
    </row>
    <row r="81" spans="1:6" ht="13.8">
      <c r="A81" s="19">
        <v>44286</v>
      </c>
      <c r="B81" s="20">
        <v>1.25</v>
      </c>
      <c r="C81" s="22">
        <v>99.102000000000004</v>
      </c>
      <c r="D81" s="21">
        <v>1.712</v>
      </c>
      <c r="E81" s="4">
        <f t="shared" si="2"/>
        <v>0</v>
      </c>
      <c r="F81" s="4">
        <f t="shared" si="3"/>
        <v>99.102000000000004</v>
      </c>
    </row>
    <row r="82" spans="1:6" ht="13.8">
      <c r="A82" s="19">
        <v>44286</v>
      </c>
      <c r="B82" s="20">
        <v>2.25</v>
      </c>
      <c r="C82" s="22">
        <v>100.242</v>
      </c>
      <c r="D82" s="21">
        <v>1.7350000000000001</v>
      </c>
      <c r="E82" s="4">
        <f t="shared" si="2"/>
        <v>0</v>
      </c>
      <c r="F82" s="4">
        <f t="shared" si="3"/>
        <v>100.242</v>
      </c>
    </row>
    <row r="83" spans="1:6" ht="13.8">
      <c r="A83" s="19">
        <v>44301</v>
      </c>
      <c r="B83" s="20">
        <v>2.375</v>
      </c>
      <c r="C83" s="22">
        <v>100.312</v>
      </c>
      <c r="D83" s="21">
        <v>1.7290000000000001</v>
      </c>
      <c r="E83" s="4">
        <f t="shared" si="2"/>
        <v>1.0901639344262295</v>
      </c>
      <c r="F83" s="4">
        <f t="shared" si="3"/>
        <v>101.40216393442623</v>
      </c>
    </row>
    <row r="84" spans="1:6" ht="13.8">
      <c r="A84" s="19">
        <v>44316</v>
      </c>
      <c r="B84" s="20">
        <v>1.375</v>
      </c>
      <c r="C84" s="22">
        <v>99.152000000000001</v>
      </c>
      <c r="D84" s="21">
        <v>1.712</v>
      </c>
      <c r="E84" s="4">
        <f t="shared" si="2"/>
        <v>0.57479508196721318</v>
      </c>
      <c r="F84" s="4">
        <f t="shared" si="3"/>
        <v>99.726795081967211</v>
      </c>
    </row>
    <row r="85" spans="1:6" ht="13.8">
      <c r="A85" s="19">
        <v>44316</v>
      </c>
      <c r="B85" s="20">
        <v>2.25</v>
      </c>
      <c r="C85" s="22">
        <v>100.262</v>
      </c>
      <c r="D85" s="21">
        <v>1.722</v>
      </c>
      <c r="E85" s="4">
        <f t="shared" si="2"/>
        <v>0.94057377049180335</v>
      </c>
      <c r="F85" s="4">
        <f t="shared" si="3"/>
        <v>101.20257377049181</v>
      </c>
    </row>
    <row r="86" spans="1:6" ht="13.8">
      <c r="A86" s="19">
        <v>44331</v>
      </c>
      <c r="B86" s="20">
        <v>2.625</v>
      </c>
      <c r="C86" s="22">
        <v>101.146</v>
      </c>
      <c r="D86" s="21">
        <v>1.7070000000000001</v>
      </c>
      <c r="E86" s="4">
        <f t="shared" si="2"/>
        <v>0.984375</v>
      </c>
      <c r="F86" s="4">
        <f t="shared" si="3"/>
        <v>102.130375</v>
      </c>
    </row>
    <row r="87" spans="1:6" ht="13.8">
      <c r="A87" s="19">
        <v>44331</v>
      </c>
      <c r="B87" s="20">
        <v>3.125</v>
      </c>
      <c r="C87" s="22">
        <v>102.072</v>
      </c>
      <c r="D87" s="21">
        <v>1.7270000000000001</v>
      </c>
      <c r="E87" s="4">
        <f t="shared" si="2"/>
        <v>1.171875</v>
      </c>
      <c r="F87" s="4">
        <f t="shared" si="3"/>
        <v>103.243875</v>
      </c>
    </row>
    <row r="88" spans="1:6" ht="13.8">
      <c r="A88" s="19">
        <v>44331</v>
      </c>
      <c r="B88" s="20">
        <v>8.125</v>
      </c>
      <c r="C88" s="22">
        <v>110.07</v>
      </c>
      <c r="D88" s="21">
        <v>1.7090000000000001</v>
      </c>
      <c r="E88" s="4">
        <f t="shared" si="2"/>
        <v>3.046875</v>
      </c>
      <c r="F88" s="4">
        <f t="shared" si="3"/>
        <v>113.11687499999999</v>
      </c>
    </row>
    <row r="89" spans="1:6" ht="13.8">
      <c r="A89" s="19">
        <v>44347</v>
      </c>
      <c r="B89" s="20">
        <v>1.375</v>
      </c>
      <c r="C89" s="22">
        <v>99.146000000000001</v>
      </c>
      <c r="D89" s="21">
        <v>1.7050000000000001</v>
      </c>
      <c r="E89" s="4">
        <f t="shared" si="2"/>
        <v>0.45833333333333331</v>
      </c>
      <c r="F89" s="4">
        <f t="shared" si="3"/>
        <v>99.604333333333329</v>
      </c>
    </row>
    <row r="90" spans="1:6" ht="13.8">
      <c r="A90" s="19">
        <v>44347</v>
      </c>
      <c r="B90" s="20">
        <v>2</v>
      </c>
      <c r="C90" s="22">
        <v>100.154</v>
      </c>
      <c r="D90" s="21">
        <v>1.7030000000000001</v>
      </c>
      <c r="E90" s="4">
        <f t="shared" si="2"/>
        <v>0.66666666666666663</v>
      </c>
      <c r="F90" s="4">
        <f t="shared" si="3"/>
        <v>100.82066666666667</v>
      </c>
    </row>
    <row r="91" spans="1:6" ht="13.8">
      <c r="A91" s="19">
        <v>44347</v>
      </c>
      <c r="B91" s="20">
        <v>2.125</v>
      </c>
      <c r="C91" s="22">
        <v>100.224</v>
      </c>
      <c r="D91" s="21">
        <v>1.694</v>
      </c>
      <c r="E91" s="4">
        <f t="shared" si="2"/>
        <v>0.70833333333333326</v>
      </c>
      <c r="F91" s="4">
        <f t="shared" si="3"/>
        <v>100.93233333333333</v>
      </c>
    </row>
    <row r="92" spans="1:6" ht="13.8">
      <c r="A92" s="19">
        <v>44362</v>
      </c>
      <c r="B92" s="20">
        <v>2.625</v>
      </c>
      <c r="C92" s="22">
        <v>101.182</v>
      </c>
      <c r="D92" s="21">
        <v>1.6859999999999999</v>
      </c>
      <c r="E92" s="4">
        <f t="shared" si="2"/>
        <v>0.76741803278688525</v>
      </c>
      <c r="F92" s="4">
        <f t="shared" si="3"/>
        <v>101.94941803278688</v>
      </c>
    </row>
    <row r="93" spans="1:6" ht="13.8">
      <c r="A93" s="19">
        <v>44377</v>
      </c>
      <c r="B93" s="20">
        <v>1.125</v>
      </c>
      <c r="C93" s="22">
        <v>99.012</v>
      </c>
      <c r="D93" s="21">
        <v>1.6850000000000001</v>
      </c>
      <c r="E93" s="4">
        <f t="shared" si="2"/>
        <v>0.28278688524590162</v>
      </c>
      <c r="F93" s="4">
        <f t="shared" si="3"/>
        <v>99.294786885245898</v>
      </c>
    </row>
    <row r="94" spans="1:6" ht="13.8">
      <c r="A94" s="19">
        <v>44377</v>
      </c>
      <c r="B94" s="20">
        <v>1.625</v>
      </c>
      <c r="C94" s="22">
        <v>99.292000000000002</v>
      </c>
      <c r="D94" s="21">
        <v>1.675</v>
      </c>
      <c r="E94" s="4">
        <f t="shared" si="2"/>
        <v>0.40846994535519127</v>
      </c>
      <c r="F94" s="4">
        <f t="shared" si="3"/>
        <v>99.700469945355195</v>
      </c>
    </row>
    <row r="95" spans="1:6" ht="13.8">
      <c r="A95" s="19">
        <v>44377</v>
      </c>
      <c r="B95" s="20">
        <v>2.125</v>
      </c>
      <c r="C95" s="22">
        <v>100.246</v>
      </c>
      <c r="D95" s="21">
        <v>1.673</v>
      </c>
      <c r="E95" s="4">
        <f t="shared" si="2"/>
        <v>0.53415300546448086</v>
      </c>
      <c r="F95" s="4">
        <f t="shared" si="3"/>
        <v>100.78015300546447</v>
      </c>
    </row>
    <row r="96" spans="1:6" ht="13.8">
      <c r="A96" s="19">
        <v>44392</v>
      </c>
      <c r="B96" s="20">
        <v>2.625</v>
      </c>
      <c r="C96" s="22">
        <v>101.21</v>
      </c>
      <c r="D96" s="21">
        <v>1.68</v>
      </c>
      <c r="E96" s="4">
        <f t="shared" si="2"/>
        <v>0.54925271739130443</v>
      </c>
      <c r="F96" s="4">
        <f t="shared" si="3"/>
        <v>101.75925271739129</v>
      </c>
    </row>
    <row r="97" spans="1:6" ht="13.8">
      <c r="A97" s="19">
        <v>44408</v>
      </c>
      <c r="B97" s="20">
        <v>1.125</v>
      </c>
      <c r="C97" s="22">
        <v>99.012</v>
      </c>
      <c r="D97" s="21">
        <v>1.66</v>
      </c>
      <c r="E97" s="4">
        <f t="shared" si="2"/>
        <v>0.18648097826086954</v>
      </c>
      <c r="F97" s="4">
        <f t="shared" si="3"/>
        <v>99.198480978260875</v>
      </c>
    </row>
    <row r="98" spans="1:6" ht="13.8">
      <c r="A98" s="19">
        <v>44408</v>
      </c>
      <c r="B98" s="20">
        <v>1.75</v>
      </c>
      <c r="C98" s="22">
        <v>100.05200000000001</v>
      </c>
      <c r="D98" s="21">
        <v>1.6579999999999999</v>
      </c>
      <c r="E98" s="4">
        <f t="shared" si="2"/>
        <v>0.29008152173913043</v>
      </c>
      <c r="F98" s="4">
        <f t="shared" si="3"/>
        <v>100.34208152173913</v>
      </c>
    </row>
    <row r="99" spans="1:6" ht="13.8">
      <c r="A99" s="19">
        <v>44408</v>
      </c>
      <c r="B99" s="20">
        <v>2.25</v>
      </c>
      <c r="C99" s="22">
        <v>101.01</v>
      </c>
      <c r="D99" s="21">
        <v>1.675</v>
      </c>
      <c r="E99" s="4">
        <f t="shared" si="2"/>
        <v>0.37296195652173908</v>
      </c>
      <c r="F99" s="4">
        <f t="shared" si="3"/>
        <v>101.38296195652174</v>
      </c>
    </row>
    <row r="100" spans="1:6" ht="13.8">
      <c r="A100" s="19">
        <v>44423</v>
      </c>
      <c r="B100" s="20">
        <v>2.125</v>
      </c>
      <c r="C100" s="22">
        <v>100.26600000000001</v>
      </c>
      <c r="D100" s="21">
        <v>1.669</v>
      </c>
      <c r="E100" s="4">
        <f t="shared" si="2"/>
        <v>0.265625</v>
      </c>
      <c r="F100" s="4">
        <f t="shared" si="3"/>
        <v>100.53162500000001</v>
      </c>
    </row>
    <row r="101" spans="1:6" ht="13.8">
      <c r="A101" s="19">
        <v>44423</v>
      </c>
      <c r="B101" s="20">
        <v>2.75</v>
      </c>
      <c r="C101" s="22">
        <v>101.31399999999999</v>
      </c>
      <c r="D101" s="21">
        <v>1.669</v>
      </c>
      <c r="E101" s="4">
        <f t="shared" si="2"/>
        <v>0.34375</v>
      </c>
      <c r="F101" s="4">
        <f t="shared" si="3"/>
        <v>101.65774999999999</v>
      </c>
    </row>
    <row r="102" spans="1:6" ht="13.8">
      <c r="A102" s="19">
        <v>44423</v>
      </c>
      <c r="B102" s="20">
        <v>8.125</v>
      </c>
      <c r="C102" s="22">
        <v>111.26</v>
      </c>
      <c r="D102" s="21">
        <v>1.6870000000000001</v>
      </c>
      <c r="E102" s="4">
        <f t="shared" si="2"/>
        <v>1.015625</v>
      </c>
      <c r="F102" s="4">
        <f t="shared" si="3"/>
        <v>112.27562500000001</v>
      </c>
    </row>
    <row r="103" spans="1:6" ht="13.8">
      <c r="A103" s="19">
        <v>44439</v>
      </c>
      <c r="B103" s="20">
        <v>1.125</v>
      </c>
      <c r="C103" s="22">
        <v>99.004000000000005</v>
      </c>
      <c r="D103" s="21">
        <v>1.649</v>
      </c>
      <c r="E103" s="4">
        <f t="shared" si="2"/>
        <v>9.1711956521739135E-2</v>
      </c>
      <c r="F103" s="4">
        <f t="shared" si="3"/>
        <v>99.09571195652174</v>
      </c>
    </row>
    <row r="104" spans="1:6" ht="13.8">
      <c r="A104" s="19">
        <v>44439</v>
      </c>
      <c r="B104" s="20">
        <v>1.5</v>
      </c>
      <c r="C104" s="22">
        <v>99.231999999999999</v>
      </c>
      <c r="D104" s="21">
        <v>1.6459999999999999</v>
      </c>
      <c r="E104" s="4">
        <f t="shared" si="2"/>
        <v>0.12228260869565218</v>
      </c>
      <c r="F104" s="4">
        <f t="shared" si="3"/>
        <v>99.354282608695655</v>
      </c>
    </row>
    <row r="105" spans="1:6" ht="13.8">
      <c r="A105" s="19">
        <v>44439</v>
      </c>
      <c r="B105" s="20">
        <v>2</v>
      </c>
      <c r="C105" s="22">
        <v>100.20399999999999</v>
      </c>
      <c r="D105" s="21">
        <v>1.6579999999999999</v>
      </c>
      <c r="E105" s="4">
        <f t="shared" si="2"/>
        <v>0.16304347826086957</v>
      </c>
      <c r="F105" s="4">
        <f t="shared" si="3"/>
        <v>100.36704347826087</v>
      </c>
    </row>
    <row r="106" spans="1:6" ht="13.8">
      <c r="A106" s="19">
        <v>44454</v>
      </c>
      <c r="B106" s="20">
        <v>2.75</v>
      </c>
      <c r="C106" s="22">
        <v>102.05200000000001</v>
      </c>
      <c r="D106" s="21">
        <v>1.621</v>
      </c>
      <c r="E106" s="4">
        <f t="shared" si="2"/>
        <v>0.11332417582417582</v>
      </c>
      <c r="F106" s="4">
        <f t="shared" si="3"/>
        <v>102.16532417582418</v>
      </c>
    </row>
    <row r="107" spans="1:6" ht="13.8">
      <c r="A107" s="19">
        <v>44469</v>
      </c>
      <c r="B107" s="20">
        <v>1.125</v>
      </c>
      <c r="C107" s="22">
        <v>98.316000000000003</v>
      </c>
      <c r="D107" s="21">
        <v>1.64</v>
      </c>
      <c r="E107" s="4">
        <f t="shared" si="2"/>
        <v>0</v>
      </c>
      <c r="F107" s="4">
        <f t="shared" si="3"/>
        <v>98.316000000000003</v>
      </c>
    </row>
    <row r="108" spans="1:6" ht="13.8">
      <c r="A108" s="19">
        <v>44469</v>
      </c>
      <c r="B108" s="20">
        <v>1.5</v>
      </c>
      <c r="C108" s="22">
        <v>99.25</v>
      </c>
      <c r="D108" s="21">
        <v>1.6120000000000001</v>
      </c>
      <c r="E108" s="4">
        <f t="shared" si="2"/>
        <v>0</v>
      </c>
      <c r="F108" s="4">
        <f t="shared" si="3"/>
        <v>99.25</v>
      </c>
    </row>
    <row r="109" spans="1:6" ht="13.8">
      <c r="A109" s="19">
        <v>44469</v>
      </c>
      <c r="B109" s="20">
        <v>2.125</v>
      </c>
      <c r="C109" s="22">
        <v>100.29600000000001</v>
      </c>
      <c r="D109" s="21">
        <v>1.65</v>
      </c>
      <c r="E109" s="4">
        <f t="shared" si="2"/>
        <v>0</v>
      </c>
      <c r="F109" s="4">
        <f t="shared" si="3"/>
        <v>100.29600000000001</v>
      </c>
    </row>
    <row r="110" spans="1:6" ht="13.8">
      <c r="A110" s="19">
        <v>44484</v>
      </c>
      <c r="B110" s="20">
        <v>2.875</v>
      </c>
      <c r="C110" s="22">
        <v>102.15</v>
      </c>
      <c r="D110" s="21">
        <v>1.6379999999999999</v>
      </c>
      <c r="E110" s="4">
        <f t="shared" si="2"/>
        <v>1.319672131147541</v>
      </c>
      <c r="F110" s="4">
        <f t="shared" si="3"/>
        <v>103.46967213114755</v>
      </c>
    </row>
    <row r="111" spans="1:6" ht="13.8">
      <c r="A111" s="19">
        <v>44500</v>
      </c>
      <c r="B111" s="20">
        <v>1.25</v>
      </c>
      <c r="C111" s="22">
        <v>99.066000000000003</v>
      </c>
      <c r="D111" s="21">
        <v>1.637</v>
      </c>
      <c r="E111" s="4">
        <f t="shared" si="2"/>
        <v>0.52254098360655743</v>
      </c>
      <c r="F111" s="4">
        <f t="shared" si="3"/>
        <v>99.588540983606563</v>
      </c>
    </row>
    <row r="112" spans="1:6" ht="13.8">
      <c r="A112" s="19">
        <v>44500</v>
      </c>
      <c r="B112" s="20">
        <v>2</v>
      </c>
      <c r="C112" s="22">
        <v>100.23</v>
      </c>
      <c r="D112" s="21">
        <v>1.647</v>
      </c>
      <c r="E112" s="4">
        <f t="shared" si="2"/>
        <v>0.83606557377049184</v>
      </c>
      <c r="F112" s="4">
        <f t="shared" si="3"/>
        <v>101.0660655737705</v>
      </c>
    </row>
    <row r="113" spans="1:6" ht="13.8">
      <c r="A113" s="19">
        <v>44515</v>
      </c>
      <c r="B113" s="20">
        <v>2</v>
      </c>
      <c r="C113" s="22">
        <v>100.25</v>
      </c>
      <c r="D113" s="21">
        <v>1.6240000000000001</v>
      </c>
      <c r="E113" s="4">
        <f t="shared" si="2"/>
        <v>0.75</v>
      </c>
      <c r="F113" s="4">
        <f t="shared" si="3"/>
        <v>101</v>
      </c>
    </row>
    <row r="114" spans="1:6" ht="13.8">
      <c r="A114" s="19">
        <v>44515</v>
      </c>
      <c r="B114" s="20">
        <v>2.875</v>
      </c>
      <c r="C114" s="22">
        <v>102.18</v>
      </c>
      <c r="D114" s="21">
        <v>1.641</v>
      </c>
      <c r="E114" s="4">
        <f t="shared" si="2"/>
        <v>1.078125</v>
      </c>
      <c r="F114" s="4">
        <f t="shared" si="3"/>
        <v>103.25812500000001</v>
      </c>
    </row>
    <row r="115" spans="1:6" ht="13.8">
      <c r="A115" s="19">
        <v>44515</v>
      </c>
      <c r="B115" s="20">
        <v>8</v>
      </c>
      <c r="C115" s="22">
        <v>113.04600000000001</v>
      </c>
      <c r="D115" s="21">
        <v>1.667</v>
      </c>
      <c r="E115" s="4">
        <f t="shared" si="2"/>
        <v>3</v>
      </c>
      <c r="F115" s="4">
        <f t="shared" si="3"/>
        <v>116.04600000000001</v>
      </c>
    </row>
    <row r="116" spans="1:6" ht="13.8">
      <c r="A116" s="19">
        <v>44530</v>
      </c>
      <c r="B116" s="20">
        <v>1.75</v>
      </c>
      <c r="C116" s="22">
        <v>100.08</v>
      </c>
      <c r="D116" s="21">
        <v>1.6319999999999999</v>
      </c>
      <c r="E116" s="4">
        <f t="shared" si="2"/>
        <v>0.58333333333333326</v>
      </c>
      <c r="F116" s="4">
        <f t="shared" si="3"/>
        <v>100.66333333333333</v>
      </c>
    </row>
    <row r="117" spans="1:6" ht="13.8">
      <c r="A117" s="19">
        <v>44530</v>
      </c>
      <c r="B117" s="20">
        <v>1.875</v>
      </c>
      <c r="C117" s="22">
        <v>100.176</v>
      </c>
      <c r="D117" s="21">
        <v>1.613</v>
      </c>
      <c r="E117" s="4">
        <f t="shared" si="2"/>
        <v>0.625</v>
      </c>
      <c r="F117" s="4">
        <f t="shared" si="3"/>
        <v>100.801</v>
      </c>
    </row>
    <row r="118" spans="1:6" ht="13.8">
      <c r="A118" s="19">
        <v>44545</v>
      </c>
      <c r="B118" s="20">
        <v>2.625</v>
      </c>
      <c r="C118" s="22">
        <v>102.074</v>
      </c>
      <c r="D118" s="21">
        <v>1.589</v>
      </c>
      <c r="E118" s="4">
        <f t="shared" si="2"/>
        <v>0.76741803278688525</v>
      </c>
      <c r="F118" s="4">
        <f t="shared" si="3"/>
        <v>102.84141803278688</v>
      </c>
    </row>
    <row r="119" spans="1:6" ht="13.8">
      <c r="A119" s="19">
        <v>44561</v>
      </c>
      <c r="B119" s="20">
        <v>2</v>
      </c>
      <c r="C119" s="22">
        <v>100.27</v>
      </c>
      <c r="D119" s="21">
        <v>1.6160000000000001</v>
      </c>
      <c r="E119" s="4">
        <f t="shared" si="2"/>
        <v>0.50273224043715847</v>
      </c>
      <c r="F119" s="4">
        <f t="shared" si="3"/>
        <v>100.77273224043715</v>
      </c>
    </row>
    <row r="120" spans="1:6" ht="13.8">
      <c r="A120" s="19">
        <v>44561</v>
      </c>
      <c r="B120" s="20">
        <v>2.125</v>
      </c>
      <c r="C120" s="22">
        <v>101.03400000000001</v>
      </c>
      <c r="D120" s="21">
        <v>1.62</v>
      </c>
      <c r="E120" s="4">
        <f t="shared" si="2"/>
        <v>0.53415300546448086</v>
      </c>
      <c r="F120" s="4">
        <f t="shared" si="3"/>
        <v>101.56815300546448</v>
      </c>
    </row>
    <row r="121" spans="1:6" ht="13.8">
      <c r="A121" s="19">
        <v>44576</v>
      </c>
      <c r="B121" s="20">
        <v>2.5</v>
      </c>
      <c r="C121" s="22">
        <v>101.31</v>
      </c>
      <c r="D121" s="21">
        <v>1.62</v>
      </c>
      <c r="E121" s="4">
        <f t="shared" si="2"/>
        <v>0.52309782608695654</v>
      </c>
      <c r="F121" s="4">
        <f t="shared" si="3"/>
        <v>101.83309782608696</v>
      </c>
    </row>
    <row r="122" spans="1:6" ht="13.8">
      <c r="A122" s="19">
        <v>44592</v>
      </c>
      <c r="B122" s="20">
        <v>1.5</v>
      </c>
      <c r="C122" s="22">
        <v>99.242000000000004</v>
      </c>
      <c r="D122" s="21">
        <v>1.6060000000000001</v>
      </c>
      <c r="E122" s="4">
        <f t="shared" si="2"/>
        <v>0.24864130434782605</v>
      </c>
      <c r="F122" s="4">
        <f t="shared" si="3"/>
        <v>99.490641304347832</v>
      </c>
    </row>
    <row r="123" spans="1:6" ht="13.8">
      <c r="A123" s="19">
        <v>44592</v>
      </c>
      <c r="B123" s="20">
        <v>1.875</v>
      </c>
      <c r="C123" s="22">
        <v>100.19</v>
      </c>
      <c r="D123" s="21">
        <v>1.6140000000000001</v>
      </c>
      <c r="E123" s="4">
        <f t="shared" si="2"/>
        <v>0.31080163043478259</v>
      </c>
      <c r="F123" s="4">
        <f t="shared" si="3"/>
        <v>100.50080163043478</v>
      </c>
    </row>
    <row r="124" spans="1:6" ht="13.8">
      <c r="A124" s="19">
        <v>44607</v>
      </c>
      <c r="B124" s="20">
        <v>2</v>
      </c>
      <c r="C124" s="22">
        <v>100.3</v>
      </c>
      <c r="D124" s="21">
        <v>1.595</v>
      </c>
      <c r="E124" s="4">
        <f t="shared" si="2"/>
        <v>0.25</v>
      </c>
      <c r="F124" s="4">
        <f t="shared" si="3"/>
        <v>100.55</v>
      </c>
    </row>
    <row r="125" spans="1:6" ht="13.8">
      <c r="A125" s="19">
        <v>44607</v>
      </c>
      <c r="B125" s="20">
        <v>2.5</v>
      </c>
      <c r="C125" s="22">
        <v>102.014</v>
      </c>
      <c r="D125" s="21">
        <v>1.617</v>
      </c>
      <c r="E125" s="4">
        <f t="shared" si="2"/>
        <v>0.3125</v>
      </c>
      <c r="F125" s="4">
        <f t="shared" si="3"/>
        <v>102.3265</v>
      </c>
    </row>
    <row r="126" spans="1:6" ht="13.8">
      <c r="A126" s="19">
        <v>44620</v>
      </c>
      <c r="B126" s="20">
        <v>1.75</v>
      </c>
      <c r="C126" s="22">
        <v>100.11199999999999</v>
      </c>
      <c r="D126" s="21">
        <v>1.601</v>
      </c>
      <c r="E126" s="4">
        <f t="shared" si="2"/>
        <v>0.14266304347826086</v>
      </c>
      <c r="F126" s="4">
        <f t="shared" si="3"/>
        <v>100.25466304347826</v>
      </c>
    </row>
    <row r="127" spans="1:6" ht="13.8">
      <c r="A127" s="19">
        <v>44620</v>
      </c>
      <c r="B127" s="20">
        <v>1.875</v>
      </c>
      <c r="C127" s="22">
        <v>100.194</v>
      </c>
      <c r="D127" s="21">
        <v>1.617</v>
      </c>
      <c r="E127" s="4">
        <f t="shared" si="2"/>
        <v>0.15285326086956522</v>
      </c>
      <c r="F127" s="4">
        <f t="shared" si="3"/>
        <v>100.34685326086957</v>
      </c>
    </row>
    <row r="128" spans="1:6" ht="13.8">
      <c r="A128" s="19">
        <v>44635</v>
      </c>
      <c r="B128" s="21">
        <v>2.375</v>
      </c>
      <c r="C128" s="22">
        <v>101.3</v>
      </c>
      <c r="D128" s="20">
        <v>1.5680000000000001</v>
      </c>
      <c r="E128" s="4">
        <f t="shared" si="2"/>
        <v>9.787087912087912E-2</v>
      </c>
      <c r="F128" s="4">
        <f t="shared" si="3"/>
        <v>101.39787087912087</v>
      </c>
    </row>
    <row r="129" spans="1:6" ht="13.8">
      <c r="A129" s="19">
        <v>44651</v>
      </c>
      <c r="B129" s="21">
        <v>1.75</v>
      </c>
      <c r="C129" s="22">
        <v>100.134</v>
      </c>
      <c r="D129" s="20">
        <v>1.577</v>
      </c>
      <c r="E129" s="4">
        <f t="shared" si="2"/>
        <v>0</v>
      </c>
      <c r="F129" s="4">
        <f t="shared" si="3"/>
        <v>100.134</v>
      </c>
    </row>
    <row r="130" spans="1:6" ht="13.8">
      <c r="A130" s="19">
        <v>44651</v>
      </c>
      <c r="B130" s="21">
        <v>1.875</v>
      </c>
      <c r="C130" s="22">
        <v>100.224</v>
      </c>
      <c r="D130" s="20">
        <v>1.587</v>
      </c>
      <c r="E130" s="4">
        <f t="shared" si="2"/>
        <v>0</v>
      </c>
      <c r="F130" s="4">
        <f t="shared" si="3"/>
        <v>100.224</v>
      </c>
    </row>
    <row r="131" spans="1:6" ht="13.8">
      <c r="A131" s="19">
        <v>44666</v>
      </c>
      <c r="B131" s="21">
        <v>2.25</v>
      </c>
      <c r="C131" s="22">
        <v>101.194</v>
      </c>
      <c r="D131" s="20">
        <v>1.6</v>
      </c>
      <c r="E131" s="4">
        <f t="shared" si="2"/>
        <v>1.0327868852459017</v>
      </c>
      <c r="F131" s="4">
        <f t="shared" si="3"/>
        <v>102.2267868852459</v>
      </c>
    </row>
    <row r="132" spans="1:6" ht="13.8">
      <c r="A132" s="19">
        <v>44681</v>
      </c>
      <c r="B132" s="21">
        <v>1.75</v>
      </c>
      <c r="C132" s="22">
        <v>100.13</v>
      </c>
      <c r="D132" s="20">
        <v>1.589</v>
      </c>
      <c r="E132" s="4">
        <f t="shared" si="2"/>
        <v>0.73155737704918034</v>
      </c>
      <c r="F132" s="4">
        <f t="shared" si="3"/>
        <v>100.86155737704918</v>
      </c>
    </row>
    <row r="133" spans="1:6" ht="13.8">
      <c r="A133" s="19">
        <v>44681</v>
      </c>
      <c r="B133" s="21">
        <v>1.875</v>
      </c>
      <c r="C133" s="22">
        <v>100.224</v>
      </c>
      <c r="D133" s="20">
        <v>1.5960000000000001</v>
      </c>
      <c r="E133" s="4">
        <f t="shared" ref="E133:E196" si="4">COUPDAYBS($B$2,A133,2,1)/COUPDAYS($B$2,A133,2,1)*(B133/2)</f>
        <v>0.78381147540983609</v>
      </c>
      <c r="F133" s="4">
        <f t="shared" ref="F133:F196" si="5">E133+C133</f>
        <v>101.00781147540984</v>
      </c>
    </row>
    <row r="134" spans="1:6" ht="13.8">
      <c r="A134" s="19">
        <v>44696</v>
      </c>
      <c r="B134" s="21">
        <v>1.75</v>
      </c>
      <c r="C134" s="22">
        <v>100.14</v>
      </c>
      <c r="D134" s="20">
        <v>1.579</v>
      </c>
      <c r="E134" s="4">
        <f t="shared" si="4"/>
        <v>0.65625</v>
      </c>
      <c r="F134" s="4">
        <f t="shared" si="5"/>
        <v>100.79625</v>
      </c>
    </row>
    <row r="135" spans="1:6" ht="13.8">
      <c r="A135" s="19">
        <v>44696</v>
      </c>
      <c r="B135" s="21">
        <v>2.125</v>
      </c>
      <c r="C135" s="22">
        <v>101.104</v>
      </c>
      <c r="D135" s="20">
        <v>1.6060000000000001</v>
      </c>
      <c r="E135" s="4">
        <f t="shared" si="4"/>
        <v>0.796875</v>
      </c>
      <c r="F135" s="4">
        <f t="shared" si="5"/>
        <v>101.900875</v>
      </c>
    </row>
    <row r="136" spans="1:6" ht="13.8">
      <c r="A136" s="19">
        <v>44712</v>
      </c>
      <c r="B136" s="21">
        <v>1.75</v>
      </c>
      <c r="C136" s="22">
        <v>100.126</v>
      </c>
      <c r="D136" s="20">
        <v>1.5960000000000001</v>
      </c>
      <c r="E136" s="4">
        <f t="shared" si="4"/>
        <v>0.58333333333333326</v>
      </c>
      <c r="F136" s="4">
        <f t="shared" si="5"/>
        <v>100.70933333333333</v>
      </c>
    </row>
    <row r="137" spans="1:6" ht="13.8">
      <c r="A137" s="19">
        <v>44712</v>
      </c>
      <c r="B137" s="21">
        <v>1.875</v>
      </c>
      <c r="C137" s="22">
        <v>100.24</v>
      </c>
      <c r="D137" s="20">
        <v>1.5860000000000001</v>
      </c>
      <c r="E137" s="4">
        <f t="shared" si="4"/>
        <v>0.625</v>
      </c>
      <c r="F137" s="4">
        <f t="shared" si="5"/>
        <v>100.86499999999999</v>
      </c>
    </row>
    <row r="138" spans="1:6" ht="13.8">
      <c r="A138" s="19">
        <v>44727</v>
      </c>
      <c r="B138" s="21">
        <v>1.75</v>
      </c>
      <c r="C138" s="22">
        <v>100.15</v>
      </c>
      <c r="D138" s="20">
        <v>1.57</v>
      </c>
      <c r="E138" s="4">
        <f t="shared" si="4"/>
        <v>0.51161202185792343</v>
      </c>
      <c r="F138" s="4">
        <f t="shared" si="5"/>
        <v>100.66161202185793</v>
      </c>
    </row>
    <row r="139" spans="1:6" ht="13.8">
      <c r="A139" s="19">
        <v>44742</v>
      </c>
      <c r="B139" s="21">
        <v>1.75</v>
      </c>
      <c r="C139" s="22">
        <v>100.146</v>
      </c>
      <c r="D139" s="20">
        <v>1.5780000000000001</v>
      </c>
      <c r="E139" s="4">
        <f t="shared" si="4"/>
        <v>0.43989071038251365</v>
      </c>
      <c r="F139" s="4">
        <f t="shared" si="5"/>
        <v>100.58589071038251</v>
      </c>
    </row>
    <row r="140" spans="1:6" ht="13.8">
      <c r="A140" s="19">
        <v>44742</v>
      </c>
      <c r="B140" s="21">
        <v>2.125</v>
      </c>
      <c r="C140" s="22">
        <v>101.15</v>
      </c>
      <c r="D140" s="20">
        <v>1.5760000000000001</v>
      </c>
      <c r="E140" s="4">
        <f t="shared" si="4"/>
        <v>0.53415300546448086</v>
      </c>
      <c r="F140" s="4">
        <f t="shared" si="5"/>
        <v>101.68415300546448</v>
      </c>
    </row>
    <row r="141" spans="1:6" ht="13.8">
      <c r="A141" s="19">
        <v>44757</v>
      </c>
      <c r="B141" s="21">
        <v>1.75</v>
      </c>
      <c r="C141" s="22">
        <v>100.13200000000001</v>
      </c>
      <c r="D141" s="20">
        <v>1.597</v>
      </c>
      <c r="E141" s="4">
        <f t="shared" si="4"/>
        <v>0.36616847826086957</v>
      </c>
      <c r="F141" s="4">
        <f t="shared" si="5"/>
        <v>100.49816847826088</v>
      </c>
    </row>
    <row r="142" spans="1:6" ht="13.8">
      <c r="A142" s="19">
        <v>44773</v>
      </c>
      <c r="B142" s="21">
        <v>1.875</v>
      </c>
      <c r="C142" s="22">
        <v>100.244</v>
      </c>
      <c r="D142" s="20">
        <v>1.597</v>
      </c>
      <c r="E142" s="4">
        <f t="shared" si="4"/>
        <v>0.31080163043478259</v>
      </c>
      <c r="F142" s="4">
        <f t="shared" si="5"/>
        <v>100.55480163043478</v>
      </c>
    </row>
    <row r="143" spans="1:6" ht="13.8">
      <c r="A143" s="19">
        <v>44773</v>
      </c>
      <c r="B143" s="21">
        <v>2</v>
      </c>
      <c r="C143" s="22">
        <v>101.056</v>
      </c>
      <c r="D143" s="20">
        <v>1.5720000000000001</v>
      </c>
      <c r="E143" s="4">
        <f t="shared" si="4"/>
        <v>0.33152173913043476</v>
      </c>
      <c r="F143" s="4">
        <f t="shared" si="5"/>
        <v>101.38752173913043</v>
      </c>
    </row>
    <row r="144" spans="1:6" ht="13.8">
      <c r="A144" s="19">
        <v>44788</v>
      </c>
      <c r="B144" s="21">
        <v>1.5</v>
      </c>
      <c r="C144" s="22">
        <v>99.254000000000005</v>
      </c>
      <c r="D144" s="20">
        <v>1.5720000000000001</v>
      </c>
      <c r="E144" s="4">
        <f t="shared" si="4"/>
        <v>0.1875</v>
      </c>
      <c r="F144" s="4">
        <f t="shared" si="5"/>
        <v>99.441500000000005</v>
      </c>
    </row>
    <row r="145" spans="1:6" ht="13.8">
      <c r="A145" s="19">
        <v>44788</v>
      </c>
      <c r="B145" s="21">
        <v>1.625</v>
      </c>
      <c r="C145" s="22">
        <v>100.044</v>
      </c>
      <c r="D145" s="20">
        <v>1.575</v>
      </c>
      <c r="E145" s="4">
        <f t="shared" si="4"/>
        <v>0.203125</v>
      </c>
      <c r="F145" s="4">
        <f t="shared" si="5"/>
        <v>100.247125</v>
      </c>
    </row>
    <row r="146" spans="1:6" ht="13.8">
      <c r="A146" s="19">
        <v>44788</v>
      </c>
      <c r="B146" s="21">
        <v>7.25</v>
      </c>
      <c r="C146" s="22">
        <v>115.264</v>
      </c>
      <c r="D146" s="20">
        <v>1.59</v>
      </c>
      <c r="E146" s="4">
        <f t="shared" si="4"/>
        <v>0.90625</v>
      </c>
      <c r="F146" s="4">
        <f t="shared" si="5"/>
        <v>116.17025</v>
      </c>
    </row>
    <row r="147" spans="1:6" ht="13.8">
      <c r="A147" s="19">
        <v>44804</v>
      </c>
      <c r="B147" s="21">
        <v>1.625</v>
      </c>
      <c r="C147" s="22">
        <v>100.032</v>
      </c>
      <c r="D147" s="20">
        <v>1.589</v>
      </c>
      <c r="E147" s="4">
        <f t="shared" si="4"/>
        <v>0.13247282608695651</v>
      </c>
      <c r="F147" s="4">
        <f t="shared" si="5"/>
        <v>100.16447282608695</v>
      </c>
    </row>
    <row r="148" spans="1:6" ht="13.8">
      <c r="A148" s="19">
        <v>44804</v>
      </c>
      <c r="B148" s="21">
        <v>1.875</v>
      </c>
      <c r="C148" s="22">
        <v>100.27200000000001</v>
      </c>
      <c r="D148" s="20">
        <v>1.575</v>
      </c>
      <c r="E148" s="4">
        <f t="shared" si="4"/>
        <v>0.15285326086956522</v>
      </c>
      <c r="F148" s="4">
        <f t="shared" si="5"/>
        <v>100.42485326086957</v>
      </c>
    </row>
    <row r="149" spans="1:6" ht="13.8">
      <c r="A149" s="19">
        <v>44819</v>
      </c>
      <c r="B149" s="21">
        <v>1.5</v>
      </c>
      <c r="C149" s="22">
        <v>99.263999999999996</v>
      </c>
      <c r="D149" s="20">
        <v>1.56</v>
      </c>
      <c r="E149" s="4">
        <f t="shared" si="4"/>
        <v>6.1813186813186816E-2</v>
      </c>
      <c r="F149" s="4">
        <f t="shared" si="5"/>
        <v>99.325813186813178</v>
      </c>
    </row>
    <row r="150" spans="1:6" ht="13.8">
      <c r="A150" s="19">
        <v>44834</v>
      </c>
      <c r="B150" s="21">
        <v>1.75</v>
      </c>
      <c r="C150" s="22">
        <v>100.17</v>
      </c>
      <c r="D150" s="20">
        <v>1.5680000000000001</v>
      </c>
      <c r="E150" s="4">
        <f t="shared" si="4"/>
        <v>0</v>
      </c>
      <c r="F150" s="4">
        <f t="shared" si="5"/>
        <v>100.17</v>
      </c>
    </row>
    <row r="151" spans="1:6" ht="13.8">
      <c r="A151" s="19">
        <v>44834</v>
      </c>
      <c r="B151" s="21">
        <v>1.875</v>
      </c>
      <c r="C151" s="22">
        <v>100.286</v>
      </c>
      <c r="D151" s="20">
        <v>1.5669999999999999</v>
      </c>
      <c r="E151" s="4">
        <f t="shared" si="4"/>
        <v>0</v>
      </c>
      <c r="F151" s="4">
        <f t="shared" si="5"/>
        <v>100.286</v>
      </c>
    </row>
    <row r="152" spans="1:6" ht="13.8">
      <c r="A152" s="19">
        <v>44865</v>
      </c>
      <c r="B152" s="21">
        <v>1.875</v>
      </c>
      <c r="C152" s="22">
        <v>100.28400000000001</v>
      </c>
      <c r="D152" s="20">
        <v>1.5780000000000001</v>
      </c>
      <c r="E152" s="4">
        <f t="shared" si="4"/>
        <v>0.78381147540983609</v>
      </c>
      <c r="F152" s="4">
        <f t="shared" si="5"/>
        <v>101.06781147540984</v>
      </c>
    </row>
    <row r="153" spans="1:6" ht="13.8">
      <c r="A153" s="19">
        <v>44865</v>
      </c>
      <c r="B153" s="21">
        <v>2</v>
      </c>
      <c r="C153" s="22">
        <v>101.08</v>
      </c>
      <c r="D153" s="20">
        <v>1.583</v>
      </c>
      <c r="E153" s="4">
        <f t="shared" si="4"/>
        <v>0.83606557377049184</v>
      </c>
      <c r="F153" s="4">
        <f t="shared" si="5"/>
        <v>101.9160655737705</v>
      </c>
    </row>
    <row r="154" spans="1:6" ht="13.8">
      <c r="A154" s="19">
        <v>44880</v>
      </c>
      <c r="B154" s="21">
        <v>1.625</v>
      </c>
      <c r="C154" s="22">
        <v>100.05</v>
      </c>
      <c r="D154" s="20">
        <v>1.573</v>
      </c>
      <c r="E154" s="4">
        <f t="shared" si="4"/>
        <v>0.609375</v>
      </c>
      <c r="F154" s="4">
        <f t="shared" si="5"/>
        <v>100.659375</v>
      </c>
    </row>
    <row r="155" spans="1:6" ht="13.8">
      <c r="A155" s="19">
        <v>44880</v>
      </c>
      <c r="B155" s="21">
        <v>7.625</v>
      </c>
      <c r="C155" s="22">
        <v>118.10599999999999</v>
      </c>
      <c r="D155" s="20">
        <v>1.5820000000000001</v>
      </c>
      <c r="E155" s="4">
        <f t="shared" si="4"/>
        <v>2.859375</v>
      </c>
      <c r="F155" s="4">
        <f t="shared" si="5"/>
        <v>120.96537499999999</v>
      </c>
    </row>
    <row r="156" spans="1:6" ht="13.8">
      <c r="A156" s="19">
        <v>44895</v>
      </c>
      <c r="B156" s="21">
        <v>2</v>
      </c>
      <c r="C156" s="22">
        <v>101.086</v>
      </c>
      <c r="D156" s="20">
        <v>1.5860000000000001</v>
      </c>
      <c r="E156" s="4">
        <f t="shared" si="4"/>
        <v>0.66666666666666663</v>
      </c>
      <c r="F156" s="4">
        <f t="shared" si="5"/>
        <v>101.75266666666667</v>
      </c>
    </row>
    <row r="157" spans="1:6" ht="13.8">
      <c r="A157" s="19">
        <v>44926</v>
      </c>
      <c r="B157" s="21">
        <v>2.125</v>
      </c>
      <c r="C157" s="22">
        <v>101.23</v>
      </c>
      <c r="D157" s="20">
        <v>1.58</v>
      </c>
      <c r="E157" s="4">
        <f t="shared" si="4"/>
        <v>0.53415300546448086</v>
      </c>
      <c r="F157" s="4">
        <f t="shared" si="5"/>
        <v>101.76415300546448</v>
      </c>
    </row>
    <row r="158" spans="1:6" ht="13.8">
      <c r="A158" s="19">
        <v>44957</v>
      </c>
      <c r="B158" s="21">
        <v>1.75</v>
      </c>
      <c r="C158" s="22">
        <v>100.176</v>
      </c>
      <c r="D158" s="20">
        <v>1.5780000000000001</v>
      </c>
      <c r="E158" s="4">
        <f t="shared" si="4"/>
        <v>0.29008152173913043</v>
      </c>
      <c r="F158" s="4">
        <f t="shared" si="5"/>
        <v>100.46608152173913</v>
      </c>
    </row>
    <row r="159" spans="1:6" ht="13.8">
      <c r="A159" s="19">
        <v>44957</v>
      </c>
      <c r="B159" s="21">
        <v>2.375</v>
      </c>
      <c r="C159" s="22">
        <v>102.17400000000001</v>
      </c>
      <c r="D159" s="20">
        <v>1.587</v>
      </c>
      <c r="E159" s="4">
        <f t="shared" si="4"/>
        <v>0.3936820652173913</v>
      </c>
      <c r="F159" s="4">
        <f t="shared" si="5"/>
        <v>102.5676820652174</v>
      </c>
    </row>
    <row r="160" spans="1:6" ht="13.8">
      <c r="A160" s="19">
        <v>44972</v>
      </c>
      <c r="B160" s="21">
        <v>2</v>
      </c>
      <c r="C160" s="22">
        <v>101.122</v>
      </c>
      <c r="D160" s="20">
        <v>1.577</v>
      </c>
      <c r="E160" s="4">
        <f t="shared" si="4"/>
        <v>0.25</v>
      </c>
      <c r="F160" s="4">
        <f t="shared" si="5"/>
        <v>101.372</v>
      </c>
    </row>
    <row r="161" spans="1:6" ht="13.8">
      <c r="A161" s="19">
        <v>44972</v>
      </c>
      <c r="B161" s="21">
        <v>7.125</v>
      </c>
      <c r="C161" s="22">
        <v>118.044</v>
      </c>
      <c r="D161" s="20">
        <v>1.579</v>
      </c>
      <c r="E161" s="4">
        <f t="shared" si="4"/>
        <v>0.890625</v>
      </c>
      <c r="F161" s="4">
        <f t="shared" si="5"/>
        <v>118.934625</v>
      </c>
    </row>
    <row r="162" spans="1:6" ht="13.8">
      <c r="A162" s="19">
        <v>44985</v>
      </c>
      <c r="B162" s="21">
        <v>1.5</v>
      </c>
      <c r="C162" s="22">
        <v>99.25</v>
      </c>
      <c r="D162" s="20">
        <v>1.5660000000000001</v>
      </c>
      <c r="E162" s="4">
        <f t="shared" si="4"/>
        <v>0.12228260869565218</v>
      </c>
      <c r="F162" s="4">
        <f t="shared" si="5"/>
        <v>99.372282608695656</v>
      </c>
    </row>
    <row r="163" spans="1:6" ht="13.8">
      <c r="A163" s="19">
        <v>44985</v>
      </c>
      <c r="B163" s="21">
        <v>2.625</v>
      </c>
      <c r="C163" s="22">
        <v>103.15600000000001</v>
      </c>
      <c r="D163" s="20">
        <v>1.571</v>
      </c>
      <c r="E163" s="4">
        <f t="shared" si="4"/>
        <v>0.2139945652173913</v>
      </c>
      <c r="F163" s="4">
        <f t="shared" si="5"/>
        <v>103.3699945652174</v>
      </c>
    </row>
    <row r="164" spans="1:6" ht="13.8">
      <c r="A164" s="19">
        <v>45016</v>
      </c>
      <c r="B164" s="21">
        <v>1.5</v>
      </c>
      <c r="C164" s="22">
        <v>99.254000000000005</v>
      </c>
      <c r="D164" s="20">
        <v>1.56</v>
      </c>
      <c r="E164" s="4">
        <f t="shared" si="4"/>
        <v>0</v>
      </c>
      <c r="F164" s="4">
        <f t="shared" si="5"/>
        <v>99.254000000000005</v>
      </c>
    </row>
    <row r="165" spans="1:6" ht="13.8">
      <c r="A165" s="19">
        <v>45016</v>
      </c>
      <c r="B165" s="21">
        <v>2.5</v>
      </c>
      <c r="C165" s="22">
        <v>103.054</v>
      </c>
      <c r="D165" s="20">
        <v>1.5649999999999999</v>
      </c>
      <c r="E165" s="4">
        <f t="shared" si="4"/>
        <v>0</v>
      </c>
      <c r="F165" s="4">
        <f t="shared" si="5"/>
        <v>103.054</v>
      </c>
    </row>
    <row r="166" spans="1:6" ht="13.8">
      <c r="A166" s="19">
        <v>45046</v>
      </c>
      <c r="B166" s="21">
        <v>1.625</v>
      </c>
      <c r="C166" s="22">
        <v>100.05</v>
      </c>
      <c r="D166" s="20">
        <v>1.58</v>
      </c>
      <c r="E166" s="4">
        <f t="shared" si="4"/>
        <v>0.67930327868852458</v>
      </c>
      <c r="F166" s="4">
        <f t="shared" si="5"/>
        <v>100.72930327868852</v>
      </c>
    </row>
    <row r="167" spans="1:6" ht="13.8">
      <c r="A167" s="19">
        <v>45046</v>
      </c>
      <c r="B167" s="21">
        <v>2.75</v>
      </c>
      <c r="C167" s="22">
        <v>104.026</v>
      </c>
      <c r="D167" s="20">
        <v>1.5720000000000001</v>
      </c>
      <c r="E167" s="4">
        <f t="shared" si="4"/>
        <v>1.1495901639344264</v>
      </c>
      <c r="F167" s="4">
        <f t="shared" si="5"/>
        <v>105.17559016393442</v>
      </c>
    </row>
    <row r="168" spans="1:6" ht="13.8">
      <c r="A168" s="19">
        <v>45061</v>
      </c>
      <c r="B168" s="21">
        <v>1.75</v>
      </c>
      <c r="C168" s="22">
        <v>100.19</v>
      </c>
      <c r="D168" s="20">
        <v>1.581</v>
      </c>
      <c r="E168" s="4">
        <f t="shared" si="4"/>
        <v>0.65625</v>
      </c>
      <c r="F168" s="4">
        <f t="shared" si="5"/>
        <v>100.84625</v>
      </c>
    </row>
    <row r="169" spans="1:6" ht="13.8">
      <c r="A169" s="19">
        <v>45077</v>
      </c>
      <c r="B169" s="21">
        <v>1.625</v>
      </c>
      <c r="C169" s="22">
        <v>100.06399999999999</v>
      </c>
      <c r="D169" s="20">
        <v>1.5680000000000001</v>
      </c>
      <c r="E169" s="4">
        <f t="shared" si="4"/>
        <v>0.54166666666666663</v>
      </c>
      <c r="F169" s="4">
        <f t="shared" si="5"/>
        <v>100.60566666666666</v>
      </c>
    </row>
    <row r="170" spans="1:6" ht="13.8">
      <c r="A170" s="19">
        <v>45077</v>
      </c>
      <c r="B170" s="21">
        <v>2.75</v>
      </c>
      <c r="C170" s="22">
        <v>104.056</v>
      </c>
      <c r="D170" s="20">
        <v>1.571</v>
      </c>
      <c r="E170" s="4">
        <f t="shared" si="4"/>
        <v>0.91666666666666663</v>
      </c>
      <c r="F170" s="4">
        <f t="shared" si="5"/>
        <v>104.97266666666667</v>
      </c>
    </row>
    <row r="171" spans="1:6" ht="13.8">
      <c r="A171" s="19">
        <v>45107</v>
      </c>
      <c r="B171" s="21">
        <v>1.375</v>
      </c>
      <c r="C171" s="22">
        <v>99.085999999999999</v>
      </c>
      <c r="D171" s="20">
        <v>1.575</v>
      </c>
      <c r="E171" s="4">
        <f t="shared" si="4"/>
        <v>0.34562841530054644</v>
      </c>
      <c r="F171" s="4">
        <f t="shared" si="5"/>
        <v>99.431628415300551</v>
      </c>
    </row>
    <row r="172" spans="1:6" ht="13.8">
      <c r="A172" s="19">
        <v>45107</v>
      </c>
      <c r="B172" s="21">
        <v>2.625</v>
      </c>
      <c r="C172" s="22">
        <v>103.262</v>
      </c>
      <c r="D172" s="20">
        <v>1.571</v>
      </c>
      <c r="E172" s="4">
        <f t="shared" si="4"/>
        <v>0.6598360655737705</v>
      </c>
      <c r="F172" s="4">
        <f t="shared" si="5"/>
        <v>103.92183606557377</v>
      </c>
    </row>
    <row r="173" spans="1:6" ht="13.8">
      <c r="A173" s="19">
        <v>45138</v>
      </c>
      <c r="B173" s="21">
        <v>1.25</v>
      </c>
      <c r="C173" s="22">
        <v>98.26</v>
      </c>
      <c r="D173" s="20">
        <v>1.57</v>
      </c>
      <c r="E173" s="4">
        <f t="shared" si="4"/>
        <v>0.20720108695652173</v>
      </c>
      <c r="F173" s="4">
        <f t="shared" si="5"/>
        <v>98.467201086956521</v>
      </c>
    </row>
    <row r="174" spans="1:6" ht="13.8">
      <c r="A174" s="19">
        <v>45138</v>
      </c>
      <c r="B174" s="21">
        <v>2.75</v>
      </c>
      <c r="C174" s="22">
        <v>104.11199999999999</v>
      </c>
      <c r="D174" s="20">
        <v>1.575</v>
      </c>
      <c r="E174" s="4">
        <f t="shared" si="4"/>
        <v>0.45584239130434778</v>
      </c>
      <c r="F174" s="4">
        <f t="shared" si="5"/>
        <v>104.56784239130434</v>
      </c>
    </row>
    <row r="175" spans="1:6" ht="13.8">
      <c r="A175" s="19">
        <v>45153</v>
      </c>
      <c r="B175" s="21">
        <v>2.5</v>
      </c>
      <c r="C175" s="22">
        <v>103.16</v>
      </c>
      <c r="D175" s="20">
        <v>1.5649999999999999</v>
      </c>
      <c r="E175" s="4">
        <f t="shared" si="4"/>
        <v>0.3125</v>
      </c>
      <c r="F175" s="4">
        <f t="shared" si="5"/>
        <v>103.4725</v>
      </c>
    </row>
    <row r="176" spans="1:6" ht="13.8">
      <c r="A176" s="19">
        <v>45153</v>
      </c>
      <c r="B176" s="21">
        <v>6.25</v>
      </c>
      <c r="C176" s="22">
        <v>117.17400000000001</v>
      </c>
      <c r="D176" s="20">
        <v>1.5620000000000001</v>
      </c>
      <c r="E176" s="4">
        <f t="shared" si="4"/>
        <v>0.78125</v>
      </c>
      <c r="F176" s="4">
        <f t="shared" si="5"/>
        <v>117.95525000000001</v>
      </c>
    </row>
    <row r="177" spans="1:6" ht="13.8">
      <c r="A177" s="19">
        <v>45169</v>
      </c>
      <c r="B177" s="21">
        <v>1.375</v>
      </c>
      <c r="C177" s="22">
        <v>99.091999999999999</v>
      </c>
      <c r="D177" s="20">
        <v>1.5629999999999999</v>
      </c>
      <c r="E177" s="4">
        <f t="shared" si="4"/>
        <v>0.11209239130434782</v>
      </c>
      <c r="F177" s="4">
        <f t="shared" si="5"/>
        <v>99.204092391304343</v>
      </c>
    </row>
    <row r="178" spans="1:6" ht="13.8">
      <c r="A178" s="19">
        <v>45169</v>
      </c>
      <c r="B178" s="21">
        <v>2.75</v>
      </c>
      <c r="C178" s="22">
        <v>104.154</v>
      </c>
      <c r="D178" s="20">
        <v>1.5640000000000001</v>
      </c>
      <c r="E178" s="4">
        <f t="shared" si="4"/>
        <v>0.22418478260869565</v>
      </c>
      <c r="F178" s="4">
        <f t="shared" si="5"/>
        <v>104.3781847826087</v>
      </c>
    </row>
    <row r="179" spans="1:6" ht="13.8">
      <c r="A179" s="19">
        <v>45199</v>
      </c>
      <c r="B179" s="21">
        <v>1.375</v>
      </c>
      <c r="C179" s="22">
        <v>99.085999999999999</v>
      </c>
      <c r="D179" s="20">
        <v>1.5629999999999999</v>
      </c>
      <c r="E179" s="4">
        <f t="shared" si="4"/>
        <v>0</v>
      </c>
      <c r="F179" s="4">
        <f t="shared" si="5"/>
        <v>99.085999999999999</v>
      </c>
    </row>
    <row r="180" spans="1:6" ht="13.8">
      <c r="A180" s="19">
        <v>45199</v>
      </c>
      <c r="B180" s="21">
        <v>2.875</v>
      </c>
      <c r="C180" s="22">
        <v>105.012</v>
      </c>
      <c r="D180" s="20">
        <v>1.57</v>
      </c>
      <c r="E180" s="4">
        <f t="shared" si="4"/>
        <v>0</v>
      </c>
      <c r="F180" s="4">
        <f t="shared" si="5"/>
        <v>105.012</v>
      </c>
    </row>
    <row r="181" spans="1:6" ht="13.8">
      <c r="A181" s="19">
        <v>45230</v>
      </c>
      <c r="B181" s="21">
        <v>1.625</v>
      </c>
      <c r="C181" s="22">
        <v>100.07599999999999</v>
      </c>
      <c r="D181" s="20">
        <v>1.5629999999999999</v>
      </c>
      <c r="E181" s="4">
        <f t="shared" si="4"/>
        <v>0.67930327868852458</v>
      </c>
      <c r="F181" s="4">
        <f t="shared" si="5"/>
        <v>100.75530327868852</v>
      </c>
    </row>
    <row r="182" spans="1:6" ht="13.8">
      <c r="A182" s="19">
        <v>45230</v>
      </c>
      <c r="B182" s="21">
        <v>2.875</v>
      </c>
      <c r="C182" s="22">
        <v>105.05200000000001</v>
      </c>
      <c r="D182" s="20">
        <v>1.5640000000000001</v>
      </c>
      <c r="E182" s="4">
        <f t="shared" si="4"/>
        <v>1.201844262295082</v>
      </c>
      <c r="F182" s="4">
        <f t="shared" si="5"/>
        <v>106.25384426229509</v>
      </c>
    </row>
    <row r="183" spans="1:6" ht="13.8">
      <c r="A183" s="19">
        <v>45245</v>
      </c>
      <c r="B183" s="21">
        <v>2.75</v>
      </c>
      <c r="C183" s="22">
        <v>104.22</v>
      </c>
      <c r="D183" s="20">
        <v>1.571</v>
      </c>
      <c r="E183" s="4">
        <f t="shared" si="4"/>
        <v>1.03125</v>
      </c>
      <c r="F183" s="4">
        <f t="shared" si="5"/>
        <v>105.25125</v>
      </c>
    </row>
    <row r="184" spans="1:6" ht="13.8">
      <c r="A184" s="19">
        <v>45260</v>
      </c>
      <c r="B184" s="21">
        <v>2.125</v>
      </c>
      <c r="C184" s="22">
        <v>102.066</v>
      </c>
      <c r="D184" s="20">
        <v>1.5740000000000001</v>
      </c>
      <c r="E184" s="4">
        <f t="shared" si="4"/>
        <v>0.70833333333333326</v>
      </c>
      <c r="F184" s="4">
        <f t="shared" si="5"/>
        <v>102.77433333333333</v>
      </c>
    </row>
    <row r="185" spans="1:6" ht="13.8">
      <c r="A185" s="19">
        <v>45260</v>
      </c>
      <c r="B185" s="21">
        <v>2.875</v>
      </c>
      <c r="C185" s="22">
        <v>105.08199999999999</v>
      </c>
      <c r="D185" s="20">
        <v>1.5660000000000001</v>
      </c>
      <c r="E185" s="4">
        <f t="shared" si="4"/>
        <v>0.95833333333333326</v>
      </c>
      <c r="F185" s="4">
        <f t="shared" si="5"/>
        <v>106.04033333333332</v>
      </c>
    </row>
    <row r="186" spans="1:6" ht="13.8">
      <c r="A186" s="19">
        <v>45291</v>
      </c>
      <c r="B186" s="21">
        <v>2.25</v>
      </c>
      <c r="C186" s="22">
        <v>102.246</v>
      </c>
      <c r="D186" s="20">
        <v>1.5720000000000001</v>
      </c>
      <c r="E186" s="4">
        <f t="shared" si="4"/>
        <v>0.56557377049180324</v>
      </c>
      <c r="F186" s="4">
        <f t="shared" si="5"/>
        <v>102.8115737704918</v>
      </c>
    </row>
    <row r="187" spans="1:6" ht="13.8">
      <c r="A187" s="19">
        <v>45291</v>
      </c>
      <c r="B187" s="21">
        <v>2.625</v>
      </c>
      <c r="C187" s="22">
        <v>104.104</v>
      </c>
      <c r="D187" s="20">
        <v>1.5620000000000001</v>
      </c>
      <c r="E187" s="4">
        <f t="shared" si="4"/>
        <v>0.6598360655737705</v>
      </c>
      <c r="F187" s="4">
        <f t="shared" si="5"/>
        <v>104.76383606557377</v>
      </c>
    </row>
    <row r="188" spans="1:6" ht="13.8">
      <c r="A188" s="19">
        <v>45322</v>
      </c>
      <c r="B188" s="21">
        <v>2.5</v>
      </c>
      <c r="C188" s="22">
        <v>103.29</v>
      </c>
      <c r="D188" s="20">
        <v>1.5640000000000001</v>
      </c>
      <c r="E188" s="4">
        <f t="shared" si="4"/>
        <v>0.41440217391304346</v>
      </c>
      <c r="F188" s="4">
        <f t="shared" si="5"/>
        <v>103.70440217391305</v>
      </c>
    </row>
    <row r="189" spans="1:6" ht="13.8">
      <c r="A189" s="19">
        <v>45337</v>
      </c>
      <c r="B189" s="21">
        <v>2.75</v>
      </c>
      <c r="C189" s="22">
        <v>104.31399999999999</v>
      </c>
      <c r="D189" s="20">
        <v>1.5660000000000001</v>
      </c>
      <c r="E189" s="4">
        <f t="shared" si="4"/>
        <v>0.34375</v>
      </c>
      <c r="F189" s="4">
        <f t="shared" si="5"/>
        <v>104.65774999999999</v>
      </c>
    </row>
    <row r="190" spans="1:6" ht="13.8">
      <c r="A190" s="19">
        <v>45351</v>
      </c>
      <c r="B190" s="21">
        <v>2.125</v>
      </c>
      <c r="C190" s="22">
        <v>102.126</v>
      </c>
      <c r="D190" s="20">
        <v>1.5609999999999999</v>
      </c>
      <c r="E190" s="4">
        <f t="shared" si="4"/>
        <v>0.17323369565217392</v>
      </c>
      <c r="F190" s="4">
        <f t="shared" si="5"/>
        <v>102.29923369565218</v>
      </c>
    </row>
    <row r="191" spans="1:6" ht="13.8">
      <c r="A191" s="19">
        <v>45351</v>
      </c>
      <c r="B191" s="21">
        <v>2.375</v>
      </c>
      <c r="C191" s="22">
        <v>103.154</v>
      </c>
      <c r="D191" s="20">
        <v>1.5549999999999999</v>
      </c>
      <c r="E191" s="4">
        <f t="shared" si="4"/>
        <v>0.19361413043478262</v>
      </c>
      <c r="F191" s="4">
        <f t="shared" si="5"/>
        <v>103.34761413043478</v>
      </c>
    </row>
    <row r="192" spans="1:6" ht="13.8">
      <c r="A192" s="19">
        <v>45382</v>
      </c>
      <c r="B192" s="21">
        <v>2.125</v>
      </c>
      <c r="C192" s="22">
        <v>102.142</v>
      </c>
      <c r="D192" s="20">
        <v>1.56</v>
      </c>
      <c r="E192" s="4">
        <f t="shared" si="4"/>
        <v>0</v>
      </c>
      <c r="F192" s="4">
        <f t="shared" si="5"/>
        <v>102.142</v>
      </c>
    </row>
    <row r="193" spans="1:6" ht="13.8">
      <c r="A193" s="19">
        <v>45412</v>
      </c>
      <c r="B193" s="21">
        <v>2</v>
      </c>
      <c r="C193" s="22">
        <v>101.29600000000001</v>
      </c>
      <c r="D193" s="20">
        <v>1.5620000000000001</v>
      </c>
      <c r="E193" s="4">
        <f t="shared" si="4"/>
        <v>0.83606557377049184</v>
      </c>
      <c r="F193" s="4">
        <f t="shared" si="5"/>
        <v>102.1320655737705</v>
      </c>
    </row>
    <row r="194" spans="1:6" ht="13.8">
      <c r="A194" s="19">
        <v>45412</v>
      </c>
      <c r="B194" s="21">
        <v>2.25</v>
      </c>
      <c r="C194" s="22">
        <v>103.004</v>
      </c>
      <c r="D194" s="20">
        <v>1.5649999999999999</v>
      </c>
      <c r="E194" s="4">
        <f t="shared" si="4"/>
        <v>0.94057377049180335</v>
      </c>
      <c r="F194" s="4">
        <f t="shared" si="5"/>
        <v>103.94457377049181</v>
      </c>
    </row>
    <row r="195" spans="1:6" ht="13.8">
      <c r="A195" s="19">
        <v>45427</v>
      </c>
      <c r="B195" s="21">
        <v>2.5</v>
      </c>
      <c r="C195" s="22">
        <v>104.044</v>
      </c>
      <c r="D195" s="20">
        <v>1.5680000000000001</v>
      </c>
      <c r="E195" s="4">
        <f t="shared" si="4"/>
        <v>0.9375</v>
      </c>
      <c r="F195" s="4">
        <f t="shared" si="5"/>
        <v>104.9815</v>
      </c>
    </row>
    <row r="196" spans="1:6" ht="13.8">
      <c r="A196" s="19">
        <v>45443</v>
      </c>
      <c r="B196" s="21">
        <v>2</v>
      </c>
      <c r="C196" s="22">
        <v>102</v>
      </c>
      <c r="D196" s="20">
        <v>1.554</v>
      </c>
      <c r="E196" s="4">
        <f t="shared" si="4"/>
        <v>0.66666666666666663</v>
      </c>
      <c r="F196" s="4">
        <f t="shared" si="5"/>
        <v>102.66666666666667</v>
      </c>
    </row>
    <row r="197" spans="1:6" ht="13.8">
      <c r="A197" s="19">
        <v>45473</v>
      </c>
      <c r="B197" s="21">
        <v>1.75</v>
      </c>
      <c r="C197" s="22">
        <v>100.27200000000001</v>
      </c>
      <c r="D197" s="20">
        <v>1.5629999999999999</v>
      </c>
      <c r="E197" s="4">
        <f t="shared" ref="E197:E260" si="6">COUPDAYBS($B$2,A197,2,1)/COUPDAYS($B$2,A197,2,1)*(B197/2)</f>
        <v>0.43989071038251365</v>
      </c>
      <c r="F197" s="4">
        <f t="shared" ref="F197:F260" si="7">E197+C197</f>
        <v>100.71189071038252</v>
      </c>
    </row>
    <row r="198" spans="1:6" ht="13.8">
      <c r="A198" s="19">
        <v>45473</v>
      </c>
      <c r="B198" s="21">
        <v>2</v>
      </c>
      <c r="C198" s="22">
        <v>101.306</v>
      </c>
      <c r="D198" s="20">
        <v>1.57</v>
      </c>
      <c r="E198" s="4">
        <f t="shared" si="6"/>
        <v>0.50273224043715847</v>
      </c>
      <c r="F198" s="4">
        <f t="shared" si="7"/>
        <v>101.80873224043715</v>
      </c>
    </row>
    <row r="199" spans="1:6" ht="13.8">
      <c r="A199" s="19">
        <v>45504</v>
      </c>
      <c r="B199" s="21">
        <v>1.75</v>
      </c>
      <c r="C199" s="22">
        <v>100.282</v>
      </c>
      <c r="D199" s="20">
        <v>1.5589999999999999</v>
      </c>
      <c r="E199" s="4">
        <f t="shared" si="6"/>
        <v>0.29008152173913043</v>
      </c>
      <c r="F199" s="4">
        <f t="shared" si="7"/>
        <v>100.57208152173912</v>
      </c>
    </row>
    <row r="200" spans="1:6" ht="13.8">
      <c r="A200" s="19">
        <v>45504</v>
      </c>
      <c r="B200" s="21">
        <v>2.125</v>
      </c>
      <c r="C200" s="22">
        <v>102.18</v>
      </c>
      <c r="D200" s="20">
        <v>1.5720000000000001</v>
      </c>
      <c r="E200" s="4">
        <f t="shared" si="6"/>
        <v>0.35224184782608692</v>
      </c>
      <c r="F200" s="4">
        <f t="shared" si="7"/>
        <v>102.5322418478261</v>
      </c>
    </row>
    <row r="201" spans="1:6" ht="13.8">
      <c r="A201" s="19">
        <v>45519</v>
      </c>
      <c r="B201" s="21">
        <v>2.375</v>
      </c>
      <c r="C201" s="22">
        <v>103.236</v>
      </c>
      <c r="D201" s="20">
        <v>1.5740000000000001</v>
      </c>
      <c r="E201" s="4">
        <f t="shared" si="6"/>
        <v>0.296875</v>
      </c>
      <c r="F201" s="4">
        <f t="shared" si="7"/>
        <v>103.532875</v>
      </c>
    </row>
    <row r="202" spans="1:6" ht="13.8">
      <c r="A202" s="19">
        <v>45535</v>
      </c>
      <c r="B202" s="21">
        <v>1.25</v>
      </c>
      <c r="C202" s="22">
        <v>98.194000000000003</v>
      </c>
      <c r="D202" s="20">
        <v>1.5449999999999999</v>
      </c>
      <c r="E202" s="4">
        <f t="shared" si="6"/>
        <v>0.10190217391304349</v>
      </c>
      <c r="F202" s="4">
        <f t="shared" si="7"/>
        <v>98.295902173913049</v>
      </c>
    </row>
    <row r="203" spans="1:6" ht="13.8">
      <c r="A203" s="19">
        <v>45535</v>
      </c>
      <c r="B203" s="21">
        <v>1.875</v>
      </c>
      <c r="C203" s="22">
        <v>101.152</v>
      </c>
      <c r="D203" s="20">
        <v>1.5620000000000001</v>
      </c>
      <c r="E203" s="4">
        <f t="shared" si="6"/>
        <v>0.15285326086956522</v>
      </c>
      <c r="F203" s="4">
        <f t="shared" si="7"/>
        <v>101.30485326086956</v>
      </c>
    </row>
    <row r="204" spans="1:6" ht="13.8">
      <c r="A204" s="19">
        <v>45565</v>
      </c>
      <c r="B204" s="21">
        <v>1.5</v>
      </c>
      <c r="C204" s="22">
        <v>99.242000000000004</v>
      </c>
      <c r="D204" s="20">
        <v>1.5509999999999999</v>
      </c>
      <c r="E204" s="4">
        <f t="shared" si="6"/>
        <v>0</v>
      </c>
      <c r="F204" s="4">
        <f t="shared" si="7"/>
        <v>99.242000000000004</v>
      </c>
    </row>
    <row r="205" spans="1:6" ht="13.8">
      <c r="A205" s="19">
        <v>45565</v>
      </c>
      <c r="B205" s="21">
        <v>2.125</v>
      </c>
      <c r="C205" s="22">
        <v>102.20399999999999</v>
      </c>
      <c r="D205" s="20">
        <v>1.5740000000000001</v>
      </c>
      <c r="E205" s="4">
        <f t="shared" si="6"/>
        <v>0</v>
      </c>
      <c r="F205" s="4">
        <f t="shared" si="7"/>
        <v>102.20399999999999</v>
      </c>
    </row>
    <row r="206" spans="1:6" ht="13.8">
      <c r="A206" s="19">
        <v>45596</v>
      </c>
      <c r="B206" s="21">
        <v>2.25</v>
      </c>
      <c r="C206" s="22">
        <v>103.092</v>
      </c>
      <c r="D206" s="20">
        <v>1.5740000000000001</v>
      </c>
      <c r="E206" s="4">
        <f t="shared" si="6"/>
        <v>0.94057377049180335</v>
      </c>
      <c r="F206" s="4">
        <f t="shared" si="7"/>
        <v>104.03257377049181</v>
      </c>
    </row>
    <row r="207" spans="1:6" ht="13.8">
      <c r="A207" s="19">
        <v>45611</v>
      </c>
      <c r="B207" s="21">
        <v>2.25</v>
      </c>
      <c r="C207" s="22">
        <v>103.09</v>
      </c>
      <c r="D207" s="20">
        <v>1.58</v>
      </c>
      <c r="E207" s="4">
        <f t="shared" si="6"/>
        <v>0.84375</v>
      </c>
      <c r="F207" s="4">
        <f t="shared" si="7"/>
        <v>103.93375</v>
      </c>
    </row>
    <row r="208" spans="1:6" ht="13.8">
      <c r="A208" s="19">
        <v>45611</v>
      </c>
      <c r="B208" s="21">
        <v>7.5</v>
      </c>
      <c r="C208" s="22">
        <v>129.036</v>
      </c>
      <c r="D208" s="20">
        <v>1.5620000000000001</v>
      </c>
      <c r="E208" s="4">
        <f t="shared" si="6"/>
        <v>2.8125</v>
      </c>
      <c r="F208" s="4">
        <f t="shared" si="7"/>
        <v>131.8485</v>
      </c>
    </row>
    <row r="209" spans="1:6" ht="13.8">
      <c r="A209" s="19">
        <v>45626</v>
      </c>
      <c r="B209" s="21">
        <v>2.125</v>
      </c>
      <c r="C209" s="22">
        <v>102.226</v>
      </c>
      <c r="D209" s="20">
        <v>1.5760000000000001</v>
      </c>
      <c r="E209" s="4">
        <f t="shared" si="6"/>
        <v>0.70833333333333326</v>
      </c>
      <c r="F209" s="4">
        <f t="shared" si="7"/>
        <v>102.93433333333333</v>
      </c>
    </row>
    <row r="210" spans="1:6" ht="13.8">
      <c r="A210" s="19">
        <v>45657</v>
      </c>
      <c r="B210" s="21">
        <v>2.25</v>
      </c>
      <c r="C210" s="22">
        <v>103.116</v>
      </c>
      <c r="D210" s="20">
        <v>1.579</v>
      </c>
      <c r="E210" s="4">
        <f t="shared" si="6"/>
        <v>0.56557377049180324</v>
      </c>
      <c r="F210" s="4">
        <f t="shared" si="7"/>
        <v>103.68157377049181</v>
      </c>
    </row>
    <row r="211" spans="1:6" ht="13.8">
      <c r="A211" s="19">
        <v>45688</v>
      </c>
      <c r="B211" s="21">
        <v>2.5</v>
      </c>
      <c r="C211" s="22">
        <v>104.21599999999999</v>
      </c>
      <c r="D211" s="20">
        <v>1.581</v>
      </c>
      <c r="E211" s="4">
        <f t="shared" si="6"/>
        <v>0.41440217391304346</v>
      </c>
      <c r="F211" s="4">
        <f t="shared" si="7"/>
        <v>104.63040217391304</v>
      </c>
    </row>
    <row r="212" spans="1:6" ht="13.8">
      <c r="A212" s="19">
        <v>45703</v>
      </c>
      <c r="B212" s="21">
        <v>2</v>
      </c>
      <c r="C212" s="22">
        <v>102.036</v>
      </c>
      <c r="D212" s="20">
        <v>1.587</v>
      </c>
      <c r="E212" s="4">
        <f t="shared" si="6"/>
        <v>0.25</v>
      </c>
      <c r="F212" s="4">
        <f t="shared" si="7"/>
        <v>102.286</v>
      </c>
    </row>
    <row r="213" spans="1:6" ht="13.8">
      <c r="A213" s="19">
        <v>45703</v>
      </c>
      <c r="B213" s="21">
        <v>7.625</v>
      </c>
      <c r="C213" s="22">
        <v>131.006</v>
      </c>
      <c r="D213" s="20">
        <v>1.579</v>
      </c>
      <c r="E213" s="4">
        <f t="shared" si="6"/>
        <v>0.953125</v>
      </c>
      <c r="F213" s="4">
        <f t="shared" si="7"/>
        <v>131.959125</v>
      </c>
    </row>
    <row r="214" spans="1:6" ht="13.8">
      <c r="A214" s="19">
        <v>45716</v>
      </c>
      <c r="B214" s="21">
        <v>2.75</v>
      </c>
      <c r="C214" s="22">
        <v>106.006</v>
      </c>
      <c r="D214" s="20">
        <v>1.585</v>
      </c>
      <c r="E214" s="4">
        <f t="shared" si="6"/>
        <v>0.22418478260869565</v>
      </c>
      <c r="F214" s="4">
        <f t="shared" si="7"/>
        <v>106.2301847826087</v>
      </c>
    </row>
    <row r="215" spans="1:6" ht="13.8">
      <c r="A215" s="19">
        <v>45747</v>
      </c>
      <c r="B215" s="21">
        <v>2.625</v>
      </c>
      <c r="C215" s="22">
        <v>105.136</v>
      </c>
      <c r="D215" s="20">
        <v>1.59</v>
      </c>
      <c r="E215" s="4">
        <f t="shared" si="6"/>
        <v>0</v>
      </c>
      <c r="F215" s="4">
        <f t="shared" si="7"/>
        <v>105.136</v>
      </c>
    </row>
    <row r="216" spans="1:6" ht="13.8">
      <c r="A216" s="19">
        <v>45777</v>
      </c>
      <c r="B216" s="21">
        <v>2.875</v>
      </c>
      <c r="C216" s="22">
        <v>106.262</v>
      </c>
      <c r="D216" s="20">
        <v>1.593</v>
      </c>
      <c r="E216" s="4">
        <f t="shared" si="6"/>
        <v>1.201844262295082</v>
      </c>
      <c r="F216" s="4">
        <f t="shared" si="7"/>
        <v>107.46384426229508</v>
      </c>
    </row>
    <row r="217" spans="1:6" ht="13.8">
      <c r="A217" s="19">
        <v>45792</v>
      </c>
      <c r="B217" s="21">
        <v>2.125</v>
      </c>
      <c r="C217" s="22">
        <v>102.27200000000001</v>
      </c>
      <c r="D217" s="20">
        <v>1.593</v>
      </c>
      <c r="E217" s="4">
        <f t="shared" si="6"/>
        <v>0.796875</v>
      </c>
      <c r="F217" s="4">
        <f t="shared" si="7"/>
        <v>103.06887500000001</v>
      </c>
    </row>
    <row r="218" spans="1:6" ht="13.8">
      <c r="A218" s="19">
        <v>45808</v>
      </c>
      <c r="B218" s="21">
        <v>2.875</v>
      </c>
      <c r="C218" s="22">
        <v>106.286</v>
      </c>
      <c r="D218" s="20">
        <v>1.5960000000000001</v>
      </c>
      <c r="E218" s="4">
        <f t="shared" si="6"/>
        <v>0.95833333333333326</v>
      </c>
      <c r="F218" s="4">
        <f t="shared" si="7"/>
        <v>107.24433333333333</v>
      </c>
    </row>
    <row r="219" spans="1:6" ht="13.8">
      <c r="A219" s="19">
        <v>45838</v>
      </c>
      <c r="B219" s="21">
        <v>2.75</v>
      </c>
      <c r="C219" s="22">
        <v>106.092</v>
      </c>
      <c r="D219" s="20">
        <v>1.6</v>
      </c>
      <c r="E219" s="4">
        <f t="shared" si="6"/>
        <v>0.69125683060109289</v>
      </c>
      <c r="F219" s="4">
        <f t="shared" si="7"/>
        <v>106.78325683060109</v>
      </c>
    </row>
    <row r="220" spans="1:6" ht="13.8">
      <c r="A220" s="19">
        <v>45869</v>
      </c>
      <c r="B220" s="21">
        <v>2.875</v>
      </c>
      <c r="C220" s="22">
        <v>107.02</v>
      </c>
      <c r="D220" s="20">
        <v>1.601</v>
      </c>
      <c r="E220" s="4">
        <f t="shared" si="6"/>
        <v>0.47656249999999994</v>
      </c>
      <c r="F220" s="4">
        <f t="shared" si="7"/>
        <v>107.4965625</v>
      </c>
    </row>
    <row r="221" spans="1:6" ht="13.8">
      <c r="A221" s="19">
        <v>45884</v>
      </c>
      <c r="B221" s="21">
        <v>2</v>
      </c>
      <c r="C221" s="22">
        <v>102.07</v>
      </c>
      <c r="D221" s="20">
        <v>1.603</v>
      </c>
      <c r="E221" s="4">
        <f t="shared" si="6"/>
        <v>0.25</v>
      </c>
      <c r="F221" s="4">
        <f t="shared" si="7"/>
        <v>102.32</v>
      </c>
    </row>
    <row r="222" spans="1:6" ht="13.8">
      <c r="A222" s="19">
        <v>45884</v>
      </c>
      <c r="B222" s="21">
        <v>6.875</v>
      </c>
      <c r="C222" s="22">
        <v>129.16999999999999</v>
      </c>
      <c r="D222" s="20">
        <v>1.5880000000000001</v>
      </c>
      <c r="E222" s="4">
        <f t="shared" si="6"/>
        <v>0.859375</v>
      </c>
      <c r="F222" s="4">
        <f t="shared" si="7"/>
        <v>130.02937499999999</v>
      </c>
    </row>
    <row r="223" spans="1:6" ht="13.8">
      <c r="A223" s="19">
        <v>45900</v>
      </c>
      <c r="B223" s="21">
        <v>2.75</v>
      </c>
      <c r="C223" s="22">
        <v>106.142</v>
      </c>
      <c r="D223" s="20">
        <v>1.603</v>
      </c>
      <c r="E223" s="4">
        <f t="shared" si="6"/>
        <v>0.22418478260869565</v>
      </c>
      <c r="F223" s="4">
        <f t="shared" si="7"/>
        <v>106.3661847826087</v>
      </c>
    </row>
    <row r="224" spans="1:6" ht="13.8">
      <c r="A224" s="19">
        <v>45930</v>
      </c>
      <c r="B224" s="21">
        <v>3</v>
      </c>
      <c r="C224" s="22">
        <v>107.304</v>
      </c>
      <c r="D224" s="20">
        <v>1.6040000000000001</v>
      </c>
      <c r="E224" s="4">
        <f t="shared" si="6"/>
        <v>0</v>
      </c>
      <c r="F224" s="4">
        <f t="shared" si="7"/>
        <v>107.304</v>
      </c>
    </row>
    <row r="225" spans="1:6" ht="13.8">
      <c r="A225" s="19">
        <v>45961</v>
      </c>
      <c r="B225" s="21">
        <v>3</v>
      </c>
      <c r="C225" s="22">
        <v>108.01600000000001</v>
      </c>
      <c r="D225" s="20">
        <v>1.6040000000000001</v>
      </c>
      <c r="E225" s="4">
        <f t="shared" si="6"/>
        <v>1.2540983606557377</v>
      </c>
      <c r="F225" s="4">
        <f t="shared" si="7"/>
        <v>109.27009836065574</v>
      </c>
    </row>
    <row r="226" spans="1:6" ht="13.8">
      <c r="A226" s="19">
        <v>45976</v>
      </c>
      <c r="B226" s="21">
        <v>2.25</v>
      </c>
      <c r="C226" s="22">
        <v>103.232</v>
      </c>
      <c r="D226" s="20">
        <v>1.6080000000000001</v>
      </c>
      <c r="E226" s="4">
        <f t="shared" si="6"/>
        <v>0.84375</v>
      </c>
      <c r="F226" s="4">
        <f t="shared" si="7"/>
        <v>104.07575</v>
      </c>
    </row>
    <row r="227" spans="1:6" ht="13.8">
      <c r="A227" s="19">
        <v>45991</v>
      </c>
      <c r="B227" s="21">
        <v>2.875</v>
      </c>
      <c r="C227" s="22">
        <v>107.13200000000001</v>
      </c>
      <c r="D227" s="20">
        <v>1.607</v>
      </c>
      <c r="E227" s="4">
        <f t="shared" si="6"/>
        <v>0.95833333333333326</v>
      </c>
      <c r="F227" s="4">
        <f t="shared" si="7"/>
        <v>108.09033333333333</v>
      </c>
    </row>
    <row r="228" spans="1:6" ht="13.8">
      <c r="A228" s="19">
        <v>46022</v>
      </c>
      <c r="B228" s="21">
        <v>2.625</v>
      </c>
      <c r="C228" s="22">
        <v>106.002</v>
      </c>
      <c r="D228" s="20">
        <v>1.61</v>
      </c>
      <c r="E228" s="4">
        <f t="shared" si="6"/>
        <v>0.6598360655737705</v>
      </c>
      <c r="F228" s="4">
        <f t="shared" si="7"/>
        <v>106.66183606557377</v>
      </c>
    </row>
    <row r="229" spans="1:6" ht="13.8">
      <c r="A229" s="19">
        <v>46053</v>
      </c>
      <c r="B229" s="21">
        <v>2.625</v>
      </c>
      <c r="C229" s="22">
        <v>106.02200000000001</v>
      </c>
      <c r="D229" s="20">
        <v>1.6120000000000001</v>
      </c>
      <c r="E229" s="4">
        <f t="shared" si="6"/>
        <v>0.43512228260869562</v>
      </c>
      <c r="F229" s="4">
        <f t="shared" si="7"/>
        <v>106.45712228260871</v>
      </c>
    </row>
    <row r="230" spans="1:6" ht="13.8">
      <c r="A230" s="19">
        <v>46068</v>
      </c>
      <c r="B230" s="21">
        <v>1.625</v>
      </c>
      <c r="C230" s="22">
        <v>100.01600000000001</v>
      </c>
      <c r="D230" s="20">
        <v>1.6160000000000001</v>
      </c>
      <c r="E230" s="4">
        <f t="shared" si="6"/>
        <v>0.203125</v>
      </c>
      <c r="F230" s="4">
        <f t="shared" si="7"/>
        <v>100.21912500000001</v>
      </c>
    </row>
    <row r="231" spans="1:6" ht="13.8">
      <c r="A231" s="19">
        <v>46068</v>
      </c>
      <c r="B231" s="21">
        <v>6</v>
      </c>
      <c r="C231" s="22">
        <v>126.176</v>
      </c>
      <c r="D231" s="20">
        <v>1.6</v>
      </c>
      <c r="E231" s="4">
        <f t="shared" si="6"/>
        <v>0.75</v>
      </c>
      <c r="F231" s="4">
        <f t="shared" si="7"/>
        <v>126.926</v>
      </c>
    </row>
    <row r="232" spans="1:6" ht="13.8">
      <c r="A232" s="19">
        <v>46081</v>
      </c>
      <c r="B232" s="21">
        <v>2.5</v>
      </c>
      <c r="C232" s="22">
        <v>105.12</v>
      </c>
      <c r="D232" s="20">
        <v>1.615</v>
      </c>
      <c r="E232" s="4">
        <f t="shared" si="6"/>
        <v>0.20380434782608697</v>
      </c>
      <c r="F232" s="4">
        <f t="shared" si="7"/>
        <v>105.3238043478261</v>
      </c>
    </row>
    <row r="233" spans="1:6" ht="13.8">
      <c r="A233" s="19">
        <v>46112</v>
      </c>
      <c r="B233" s="21">
        <v>2.25</v>
      </c>
      <c r="C233" s="22">
        <v>103.294</v>
      </c>
      <c r="D233" s="20">
        <v>1.6120000000000001</v>
      </c>
      <c r="E233" s="4">
        <f t="shared" si="6"/>
        <v>0</v>
      </c>
      <c r="F233" s="4">
        <f t="shared" si="7"/>
        <v>103.294</v>
      </c>
    </row>
    <row r="234" spans="1:6" ht="13.8">
      <c r="A234" s="19">
        <v>46142</v>
      </c>
      <c r="B234" s="21">
        <v>2.375</v>
      </c>
      <c r="C234" s="22">
        <v>104.232</v>
      </c>
      <c r="D234" s="20">
        <v>1.615</v>
      </c>
      <c r="E234" s="4">
        <f t="shared" si="6"/>
        <v>0.99282786885245911</v>
      </c>
      <c r="F234" s="4">
        <f t="shared" si="7"/>
        <v>105.22482786885246</v>
      </c>
    </row>
    <row r="235" spans="1:6" ht="13.8">
      <c r="A235" s="19">
        <v>46157</v>
      </c>
      <c r="B235" s="21">
        <v>1.625</v>
      </c>
      <c r="C235" s="22">
        <v>100.02</v>
      </c>
      <c r="D235" s="20">
        <v>1.615</v>
      </c>
      <c r="E235" s="4">
        <f t="shared" si="6"/>
        <v>0.609375</v>
      </c>
      <c r="F235" s="4">
        <f t="shared" si="7"/>
        <v>100.629375</v>
      </c>
    </row>
    <row r="236" spans="1:6" ht="13.8">
      <c r="A236" s="19">
        <v>46173</v>
      </c>
      <c r="B236" s="21">
        <v>2.125</v>
      </c>
      <c r="C236" s="22">
        <v>103.062</v>
      </c>
      <c r="D236" s="20">
        <v>1.617</v>
      </c>
      <c r="E236" s="4">
        <f t="shared" si="6"/>
        <v>0.70833333333333326</v>
      </c>
      <c r="F236" s="4">
        <f t="shared" si="7"/>
        <v>103.77033333333333</v>
      </c>
    </row>
    <row r="237" spans="1:6" ht="13.8">
      <c r="A237" s="19">
        <v>46203</v>
      </c>
      <c r="B237" s="21">
        <v>1.875</v>
      </c>
      <c r="C237" s="22">
        <v>101.206</v>
      </c>
      <c r="D237" s="20">
        <v>1.615</v>
      </c>
      <c r="E237" s="4">
        <f t="shared" si="6"/>
        <v>0.47131147540983609</v>
      </c>
      <c r="F237" s="4">
        <f t="shared" si="7"/>
        <v>101.67731147540984</v>
      </c>
    </row>
    <row r="238" spans="1:6" ht="13.8">
      <c r="A238" s="19">
        <v>46234</v>
      </c>
      <c r="B238" s="21">
        <v>1.875</v>
      </c>
      <c r="C238" s="22">
        <v>101.214</v>
      </c>
      <c r="D238" s="20">
        <v>1.615</v>
      </c>
      <c r="E238" s="4">
        <f t="shared" si="6"/>
        <v>0.31080163043478259</v>
      </c>
      <c r="F238" s="4">
        <f t="shared" si="7"/>
        <v>101.52480163043478</v>
      </c>
    </row>
    <row r="239" spans="1:6" ht="13.8">
      <c r="A239" s="19">
        <v>46249</v>
      </c>
      <c r="B239" s="21">
        <v>1.5</v>
      </c>
      <c r="C239" s="22">
        <v>99.075999999999993</v>
      </c>
      <c r="D239" s="20">
        <v>1.617</v>
      </c>
      <c r="E239" s="4">
        <f t="shared" si="6"/>
        <v>0.1875</v>
      </c>
      <c r="F239" s="4">
        <f t="shared" si="7"/>
        <v>99.263499999999993</v>
      </c>
    </row>
    <row r="240" spans="1:6" ht="13.8">
      <c r="A240" s="19">
        <v>46249</v>
      </c>
      <c r="B240" s="21">
        <v>6.75</v>
      </c>
      <c r="C240" s="22">
        <v>133.126</v>
      </c>
      <c r="D240" s="20">
        <v>1.599</v>
      </c>
      <c r="E240" s="4">
        <f t="shared" si="6"/>
        <v>0.84375</v>
      </c>
      <c r="F240" s="4">
        <f t="shared" si="7"/>
        <v>133.96975</v>
      </c>
    </row>
    <row r="241" spans="1:6" ht="13.8">
      <c r="A241" s="19">
        <v>46265</v>
      </c>
      <c r="B241" s="21">
        <v>1.375</v>
      </c>
      <c r="C241" s="22">
        <v>98.132000000000005</v>
      </c>
      <c r="D241" s="20">
        <v>1.6180000000000001</v>
      </c>
      <c r="E241" s="4">
        <f t="shared" si="6"/>
        <v>0.11209239130434782</v>
      </c>
      <c r="F241" s="4">
        <f t="shared" si="7"/>
        <v>98.244092391304349</v>
      </c>
    </row>
    <row r="242" spans="1:6" ht="13.8">
      <c r="A242" s="19">
        <v>46295</v>
      </c>
      <c r="B242" s="21">
        <v>1.625</v>
      </c>
      <c r="C242" s="22">
        <v>100.012</v>
      </c>
      <c r="D242" s="20">
        <v>1.619</v>
      </c>
      <c r="E242" s="4">
        <f t="shared" si="6"/>
        <v>0</v>
      </c>
      <c r="F242" s="4">
        <f t="shared" si="7"/>
        <v>100.012</v>
      </c>
    </row>
    <row r="243" spans="1:6" ht="13.8">
      <c r="A243" s="19">
        <v>46341</v>
      </c>
      <c r="B243" s="21">
        <v>2</v>
      </c>
      <c r="C243" s="22">
        <v>102.18</v>
      </c>
      <c r="D243" s="20">
        <v>1.6180000000000001</v>
      </c>
      <c r="E243" s="4">
        <f t="shared" si="6"/>
        <v>0.75</v>
      </c>
      <c r="F243" s="4">
        <f t="shared" si="7"/>
        <v>102.93</v>
      </c>
    </row>
    <row r="244" spans="1:6" ht="13.8">
      <c r="A244" s="19">
        <v>46341</v>
      </c>
      <c r="B244" s="21">
        <v>6.5</v>
      </c>
      <c r="C244" s="22">
        <v>132.25200000000001</v>
      </c>
      <c r="D244" s="20">
        <v>1.609</v>
      </c>
      <c r="E244" s="4">
        <f t="shared" si="6"/>
        <v>2.4375</v>
      </c>
      <c r="F244" s="4">
        <f t="shared" si="7"/>
        <v>134.68950000000001</v>
      </c>
    </row>
    <row r="245" spans="1:6" ht="13.8">
      <c r="A245" s="19">
        <v>46433</v>
      </c>
      <c r="B245" s="21">
        <v>2.25</v>
      </c>
      <c r="C245" s="22">
        <v>104.116</v>
      </c>
      <c r="D245" s="20">
        <v>1.619</v>
      </c>
      <c r="E245" s="4">
        <f t="shared" si="6"/>
        <v>0.28125</v>
      </c>
      <c r="F245" s="4">
        <f t="shared" si="7"/>
        <v>104.39725</v>
      </c>
    </row>
    <row r="246" spans="1:6" ht="13.8">
      <c r="A246" s="19">
        <v>46433</v>
      </c>
      <c r="B246" s="21">
        <v>6.625</v>
      </c>
      <c r="C246" s="22">
        <v>134.196</v>
      </c>
      <c r="D246" s="20">
        <v>1.623</v>
      </c>
      <c r="E246" s="4">
        <f t="shared" si="6"/>
        <v>0.828125</v>
      </c>
      <c r="F246" s="4">
        <f t="shared" si="7"/>
        <v>135.024125</v>
      </c>
    </row>
    <row r="247" spans="1:6" ht="13.8">
      <c r="A247" s="19">
        <v>46522</v>
      </c>
      <c r="B247" s="21">
        <v>2.375</v>
      </c>
      <c r="C247" s="22">
        <v>105.12</v>
      </c>
      <c r="D247" s="20">
        <v>1.6220000000000001</v>
      </c>
      <c r="E247" s="4">
        <f t="shared" si="6"/>
        <v>0.890625</v>
      </c>
      <c r="F247" s="4">
        <f t="shared" si="7"/>
        <v>106.010625</v>
      </c>
    </row>
    <row r="248" spans="1:6" ht="13.8">
      <c r="A248" s="19">
        <v>46614</v>
      </c>
      <c r="B248" s="21">
        <v>2.25</v>
      </c>
      <c r="C248" s="22">
        <v>104.176</v>
      </c>
      <c r="D248" s="20">
        <v>1.631</v>
      </c>
      <c r="E248" s="4">
        <f t="shared" si="6"/>
        <v>0.28125</v>
      </c>
      <c r="F248" s="4">
        <f t="shared" si="7"/>
        <v>104.45725</v>
      </c>
    </row>
    <row r="249" spans="1:6" ht="13.8">
      <c r="A249" s="19">
        <v>46614</v>
      </c>
      <c r="B249" s="21">
        <v>6.375</v>
      </c>
      <c r="C249" s="22">
        <v>135</v>
      </c>
      <c r="D249" s="20">
        <v>1.621</v>
      </c>
      <c r="E249" s="4">
        <f t="shared" si="6"/>
        <v>0.796875</v>
      </c>
      <c r="F249" s="4">
        <f t="shared" si="7"/>
        <v>135.796875</v>
      </c>
    </row>
    <row r="250" spans="1:6" ht="13.8">
      <c r="A250" s="19">
        <v>46706</v>
      </c>
      <c r="B250" s="21">
        <v>2.25</v>
      </c>
      <c r="C250" s="22">
        <v>104.202</v>
      </c>
      <c r="D250" s="20">
        <v>1.6379999999999999</v>
      </c>
      <c r="E250" s="4">
        <f t="shared" si="6"/>
        <v>0.84375</v>
      </c>
      <c r="F250" s="4">
        <f t="shared" si="7"/>
        <v>105.04575</v>
      </c>
    </row>
    <row r="251" spans="1:6" ht="13.8">
      <c r="A251" s="19">
        <v>46706</v>
      </c>
      <c r="B251" s="21">
        <v>6.125</v>
      </c>
      <c r="C251" s="22">
        <v>134.03</v>
      </c>
      <c r="D251" s="20">
        <v>1.627</v>
      </c>
      <c r="E251" s="4">
        <f t="shared" si="6"/>
        <v>2.296875</v>
      </c>
      <c r="F251" s="4">
        <f t="shared" si="7"/>
        <v>136.326875</v>
      </c>
    </row>
    <row r="252" spans="1:6" ht="13.8">
      <c r="A252" s="19">
        <v>46798</v>
      </c>
      <c r="B252" s="21">
        <v>2.75</v>
      </c>
      <c r="C252" s="22">
        <v>108.18600000000001</v>
      </c>
      <c r="D252" s="20">
        <v>1.6479999999999999</v>
      </c>
      <c r="E252" s="4">
        <f t="shared" si="6"/>
        <v>0.34375</v>
      </c>
      <c r="F252" s="4">
        <f t="shared" si="7"/>
        <v>108.52975000000001</v>
      </c>
    </row>
    <row r="253" spans="1:6" ht="13.8">
      <c r="A253" s="19">
        <v>46888</v>
      </c>
      <c r="B253" s="21">
        <v>2.875</v>
      </c>
      <c r="C253" s="22">
        <v>109.246</v>
      </c>
      <c r="D253" s="20">
        <v>1.6539999999999999</v>
      </c>
      <c r="E253" s="4">
        <f t="shared" si="6"/>
        <v>1.078125</v>
      </c>
      <c r="F253" s="4">
        <f t="shared" si="7"/>
        <v>110.324125</v>
      </c>
    </row>
    <row r="254" spans="1:6" ht="13.8">
      <c r="A254" s="19">
        <v>46980</v>
      </c>
      <c r="B254" s="21">
        <v>2.875</v>
      </c>
      <c r="C254" s="22">
        <v>109.306</v>
      </c>
      <c r="D254" s="20">
        <v>1.663</v>
      </c>
      <c r="E254" s="4">
        <f t="shared" si="6"/>
        <v>0.359375</v>
      </c>
      <c r="F254" s="4">
        <f t="shared" si="7"/>
        <v>109.665375</v>
      </c>
    </row>
    <row r="255" spans="1:6" ht="13.8">
      <c r="A255" s="19">
        <v>46980</v>
      </c>
      <c r="B255" s="21">
        <v>5.5</v>
      </c>
      <c r="C255" s="22">
        <v>131.21</v>
      </c>
      <c r="D255" s="20">
        <v>1.65</v>
      </c>
      <c r="E255" s="4">
        <f t="shared" si="6"/>
        <v>0.6875</v>
      </c>
      <c r="F255" s="4">
        <f t="shared" si="7"/>
        <v>131.89750000000001</v>
      </c>
    </row>
    <row r="256" spans="1:6" ht="13.8">
      <c r="A256" s="19">
        <v>47072</v>
      </c>
      <c r="B256" s="21">
        <v>3.125</v>
      </c>
      <c r="C256" s="22">
        <v>112.084</v>
      </c>
      <c r="D256" s="20">
        <v>1.67</v>
      </c>
      <c r="E256" s="4">
        <f t="shared" si="6"/>
        <v>1.171875</v>
      </c>
      <c r="F256" s="4">
        <f t="shared" si="7"/>
        <v>113.255875</v>
      </c>
    </row>
    <row r="257" spans="1:6" ht="13.8">
      <c r="A257" s="19">
        <v>47072</v>
      </c>
      <c r="B257" s="21">
        <v>5.25</v>
      </c>
      <c r="C257" s="22">
        <v>130.09</v>
      </c>
      <c r="D257" s="20">
        <v>1.659</v>
      </c>
      <c r="E257" s="4">
        <f t="shared" si="6"/>
        <v>1.96875</v>
      </c>
      <c r="F257" s="4">
        <f t="shared" si="7"/>
        <v>132.05875</v>
      </c>
    </row>
    <row r="258" spans="1:6" ht="13.8">
      <c r="A258" s="19">
        <v>47164</v>
      </c>
      <c r="B258" s="21">
        <v>2.625</v>
      </c>
      <c r="C258" s="22">
        <v>108.07599999999999</v>
      </c>
      <c r="D258" s="20">
        <v>1.671</v>
      </c>
      <c r="E258" s="4">
        <f t="shared" si="6"/>
        <v>0.328125</v>
      </c>
      <c r="F258" s="4">
        <f t="shared" si="7"/>
        <v>108.40412499999999</v>
      </c>
    </row>
    <row r="259" spans="1:6" ht="13.8">
      <c r="A259" s="19">
        <v>47164</v>
      </c>
      <c r="B259" s="21">
        <v>5.25</v>
      </c>
      <c r="C259" s="22">
        <v>131.012</v>
      </c>
      <c r="D259" s="20">
        <v>1.66</v>
      </c>
      <c r="E259" s="4">
        <f t="shared" si="6"/>
        <v>0.65625</v>
      </c>
      <c r="F259" s="4">
        <f t="shared" si="7"/>
        <v>131.66825</v>
      </c>
    </row>
    <row r="260" spans="1:6" ht="13.8">
      <c r="A260" s="19">
        <v>47253</v>
      </c>
      <c r="B260" s="21">
        <v>2.375</v>
      </c>
      <c r="C260" s="22">
        <v>106.06</v>
      </c>
      <c r="D260" s="20">
        <v>1.6759999999999999</v>
      </c>
      <c r="E260" s="4">
        <f t="shared" si="6"/>
        <v>0.890625</v>
      </c>
      <c r="F260" s="4">
        <f t="shared" si="7"/>
        <v>106.950625</v>
      </c>
    </row>
    <row r="261" spans="1:6" ht="13.8">
      <c r="A261" s="19">
        <v>47345</v>
      </c>
      <c r="B261" s="21">
        <v>1.625</v>
      </c>
      <c r="C261" s="22">
        <v>99.171999999999997</v>
      </c>
      <c r="D261" s="20">
        <v>1.6759999999999999</v>
      </c>
      <c r="E261" s="4">
        <f t="shared" ref="E261:E312" si="8">COUPDAYBS($B$2,A261,2,1)/COUPDAYS($B$2,A261,2,1)*(B261/2)</f>
        <v>0.203125</v>
      </c>
      <c r="F261" s="4">
        <f t="shared" ref="F261:F312" si="9">E261+C261</f>
        <v>99.375124999999997</v>
      </c>
    </row>
    <row r="262" spans="1:6" ht="13.8">
      <c r="A262" s="19">
        <v>47345</v>
      </c>
      <c r="B262" s="21">
        <v>6.125</v>
      </c>
      <c r="C262" s="22">
        <v>140.11000000000001</v>
      </c>
      <c r="D262" s="20">
        <v>1.6739999999999999</v>
      </c>
      <c r="E262" s="4">
        <f t="shared" si="8"/>
        <v>0.765625</v>
      </c>
      <c r="F262" s="4">
        <f t="shared" si="9"/>
        <v>140.87562500000001</v>
      </c>
    </row>
    <row r="263" spans="1:6" ht="13.8">
      <c r="A263" s="19">
        <v>47618</v>
      </c>
      <c r="B263" s="21">
        <v>6.25</v>
      </c>
      <c r="C263" s="22">
        <v>144.09200000000001</v>
      </c>
      <c r="D263" s="20">
        <v>1.68</v>
      </c>
      <c r="E263" s="4">
        <f t="shared" si="8"/>
        <v>2.34375</v>
      </c>
      <c r="F263" s="4">
        <f t="shared" si="9"/>
        <v>146.43575000000001</v>
      </c>
    </row>
    <row r="264" spans="1:6" ht="13.8">
      <c r="A264" s="19">
        <v>47894</v>
      </c>
      <c r="B264" s="21">
        <v>5.375</v>
      </c>
      <c r="C264" s="22">
        <v>137.286</v>
      </c>
      <c r="D264" s="20">
        <v>1.696</v>
      </c>
      <c r="E264" s="4">
        <f t="shared" si="8"/>
        <v>0.671875</v>
      </c>
      <c r="F264" s="4">
        <f t="shared" si="9"/>
        <v>137.957875</v>
      </c>
    </row>
    <row r="265" spans="1:6" ht="13.8">
      <c r="A265" s="19">
        <v>49720</v>
      </c>
      <c r="B265" s="21">
        <v>4.5</v>
      </c>
      <c r="C265" s="22">
        <v>137.28399999999999</v>
      </c>
      <c r="D265" s="20">
        <v>1.8140000000000001</v>
      </c>
      <c r="E265" s="4">
        <f t="shared" si="8"/>
        <v>0.5625</v>
      </c>
      <c r="F265" s="4">
        <f t="shared" si="9"/>
        <v>137.84649999999999</v>
      </c>
    </row>
    <row r="266" spans="1:6" ht="13.8">
      <c r="A266" s="19">
        <v>50086</v>
      </c>
      <c r="B266" s="21">
        <v>4.75</v>
      </c>
      <c r="C266" s="22">
        <v>143.10599999999999</v>
      </c>
      <c r="D266" s="20">
        <v>1.827</v>
      </c>
      <c r="E266" s="4">
        <f t="shared" si="8"/>
        <v>0.59375</v>
      </c>
      <c r="F266" s="4">
        <f t="shared" si="9"/>
        <v>143.69974999999999</v>
      </c>
    </row>
    <row r="267" spans="1:6" ht="13.8">
      <c r="A267" s="19">
        <v>50175</v>
      </c>
      <c r="B267" s="21">
        <v>5</v>
      </c>
      <c r="C267" s="22">
        <v>147.16999999999999</v>
      </c>
      <c r="D267" s="20">
        <v>1.8320000000000001</v>
      </c>
      <c r="E267" s="4">
        <f t="shared" si="8"/>
        <v>1.875</v>
      </c>
      <c r="F267" s="4">
        <f t="shared" si="9"/>
        <v>149.04499999999999</v>
      </c>
    </row>
    <row r="268" spans="1:6" ht="13.8">
      <c r="A268" s="19">
        <v>50451</v>
      </c>
      <c r="B268" s="21">
        <v>4.375</v>
      </c>
      <c r="C268" s="22">
        <v>138.226</v>
      </c>
      <c r="D268" s="20">
        <v>1.875</v>
      </c>
      <c r="E268" s="4">
        <f t="shared" si="8"/>
        <v>0.546875</v>
      </c>
      <c r="F268" s="4">
        <f t="shared" si="9"/>
        <v>138.772875</v>
      </c>
    </row>
    <row r="269" spans="1:6" ht="13.8">
      <c r="A269" s="19">
        <v>50540</v>
      </c>
      <c r="B269" s="21">
        <v>4.5</v>
      </c>
      <c r="C269" s="22">
        <v>140.316</v>
      </c>
      <c r="D269" s="20">
        <v>1.881</v>
      </c>
      <c r="E269" s="4">
        <f t="shared" si="8"/>
        <v>1.6875</v>
      </c>
      <c r="F269" s="4">
        <f t="shared" si="9"/>
        <v>142.0035</v>
      </c>
    </row>
    <row r="270" spans="1:6" ht="13.8">
      <c r="A270" s="19">
        <v>50816</v>
      </c>
      <c r="B270" s="21">
        <v>3.5</v>
      </c>
      <c r="C270" s="22">
        <v>125.09</v>
      </c>
      <c r="D270" s="20">
        <v>1.93</v>
      </c>
      <c r="E270" s="4">
        <f t="shared" si="8"/>
        <v>0.4375</v>
      </c>
      <c r="F270" s="4">
        <f t="shared" si="9"/>
        <v>125.5275</v>
      </c>
    </row>
    <row r="271" spans="1:6" ht="13.8">
      <c r="A271" s="19">
        <v>50905</v>
      </c>
      <c r="B271" s="21">
        <v>4.25</v>
      </c>
      <c r="C271" s="22">
        <v>137.24199999999999</v>
      </c>
      <c r="D271" s="20">
        <v>1.929</v>
      </c>
      <c r="E271" s="4">
        <f t="shared" si="8"/>
        <v>1.59375</v>
      </c>
      <c r="F271" s="4">
        <f t="shared" si="9"/>
        <v>138.83574999999999</v>
      </c>
    </row>
    <row r="272" spans="1:6" ht="13.8">
      <c r="A272" s="19">
        <v>50997</v>
      </c>
      <c r="B272" s="21">
        <v>4.5</v>
      </c>
      <c r="C272" s="22">
        <v>142.08199999999999</v>
      </c>
      <c r="D272" s="20">
        <v>1.93</v>
      </c>
      <c r="E272" s="4">
        <f t="shared" si="8"/>
        <v>0.5625</v>
      </c>
      <c r="F272" s="4">
        <f t="shared" si="9"/>
        <v>142.64449999999999</v>
      </c>
    </row>
    <row r="273" spans="1:6" ht="13.8">
      <c r="A273" s="19">
        <v>51089</v>
      </c>
      <c r="B273" s="21">
        <v>4.375</v>
      </c>
      <c r="C273" s="22">
        <v>140.1</v>
      </c>
      <c r="D273" s="20">
        <v>1.9450000000000001</v>
      </c>
      <c r="E273" s="4">
        <f t="shared" si="8"/>
        <v>1.640625</v>
      </c>
      <c r="F273" s="4">
        <f t="shared" si="9"/>
        <v>141.74062499999999</v>
      </c>
    </row>
    <row r="274" spans="1:6" ht="13.8">
      <c r="A274" s="19">
        <v>51181</v>
      </c>
      <c r="B274" s="21">
        <v>4.625</v>
      </c>
      <c r="C274" s="22">
        <v>144.26</v>
      </c>
      <c r="D274" s="20">
        <v>1.9490000000000001</v>
      </c>
      <c r="E274" s="4">
        <f t="shared" si="8"/>
        <v>0.578125</v>
      </c>
      <c r="F274" s="4">
        <f t="shared" si="9"/>
        <v>144.83812499999999</v>
      </c>
    </row>
    <row r="275" spans="1:6" ht="13.8">
      <c r="A275" s="19">
        <v>51271</v>
      </c>
      <c r="B275" s="21">
        <v>4.375</v>
      </c>
      <c r="C275" s="22">
        <v>140.20599999999999</v>
      </c>
      <c r="D275" s="20">
        <v>1.9670000000000001</v>
      </c>
      <c r="E275" s="4">
        <f t="shared" si="8"/>
        <v>1.640625</v>
      </c>
      <c r="F275" s="4">
        <f t="shared" si="9"/>
        <v>141.84662499999999</v>
      </c>
    </row>
    <row r="276" spans="1:6" ht="13.8">
      <c r="A276" s="19">
        <v>51363</v>
      </c>
      <c r="B276" s="21">
        <v>3.875</v>
      </c>
      <c r="C276" s="22">
        <v>132.07599999999999</v>
      </c>
      <c r="D276" s="20">
        <v>1.9810000000000001</v>
      </c>
      <c r="E276" s="4">
        <f t="shared" si="8"/>
        <v>0.484375</v>
      </c>
      <c r="F276" s="4">
        <f t="shared" si="9"/>
        <v>132.56037499999999</v>
      </c>
    </row>
    <row r="277" spans="1:6" ht="13.8">
      <c r="A277" s="19">
        <v>51455</v>
      </c>
      <c r="B277" s="21">
        <v>4.25</v>
      </c>
      <c r="C277" s="22">
        <v>138.26</v>
      </c>
      <c r="D277" s="20">
        <v>1.99</v>
      </c>
      <c r="E277" s="4">
        <f t="shared" si="8"/>
        <v>1.59375</v>
      </c>
      <c r="F277" s="4">
        <f t="shared" si="9"/>
        <v>139.85374999999999</v>
      </c>
    </row>
    <row r="278" spans="1:6" ht="13.8">
      <c r="A278" s="19">
        <v>51547</v>
      </c>
      <c r="B278" s="21">
        <v>4.75</v>
      </c>
      <c r="C278" s="22">
        <v>147.27600000000001</v>
      </c>
      <c r="D278" s="20">
        <v>1.9890000000000001</v>
      </c>
      <c r="E278" s="4">
        <f t="shared" si="8"/>
        <v>0.59375</v>
      </c>
      <c r="F278" s="4">
        <f t="shared" si="9"/>
        <v>147.86975000000001</v>
      </c>
    </row>
    <row r="279" spans="1:6" ht="13.8">
      <c r="A279" s="19">
        <v>51636</v>
      </c>
      <c r="B279" s="21">
        <v>4.375</v>
      </c>
      <c r="C279" s="22">
        <v>141.124</v>
      </c>
      <c r="D279" s="20">
        <v>2.0059999999999998</v>
      </c>
      <c r="E279" s="4">
        <f t="shared" si="8"/>
        <v>1.640625</v>
      </c>
      <c r="F279" s="4">
        <f t="shared" si="9"/>
        <v>142.764625</v>
      </c>
    </row>
    <row r="280" spans="1:6" ht="13.8">
      <c r="A280" s="19">
        <v>51728</v>
      </c>
      <c r="B280" s="21">
        <v>3.75</v>
      </c>
      <c r="C280" s="22">
        <v>130.11199999999999</v>
      </c>
      <c r="D280" s="20">
        <v>2.0249999999999999</v>
      </c>
      <c r="E280" s="4">
        <f t="shared" si="8"/>
        <v>0.46875</v>
      </c>
      <c r="F280" s="4">
        <f t="shared" si="9"/>
        <v>130.58074999999999</v>
      </c>
    </row>
    <row r="281" spans="1:6" ht="13.8">
      <c r="A281" s="19">
        <v>51820</v>
      </c>
      <c r="B281" s="21">
        <v>3.125</v>
      </c>
      <c r="C281" s="22">
        <v>119.062</v>
      </c>
      <c r="D281" s="20">
        <v>2.0419999999999998</v>
      </c>
      <c r="E281" s="4">
        <f t="shared" si="8"/>
        <v>1.171875</v>
      </c>
      <c r="F281" s="4">
        <f t="shared" si="9"/>
        <v>120.233875</v>
      </c>
    </row>
    <row r="282" spans="1:6" ht="13.8">
      <c r="A282" s="19">
        <v>51912</v>
      </c>
      <c r="B282" s="21">
        <v>3.125</v>
      </c>
      <c r="C282" s="22">
        <v>119.08199999999999</v>
      </c>
      <c r="D282" s="20">
        <v>2.048</v>
      </c>
      <c r="E282" s="4">
        <f t="shared" si="8"/>
        <v>0.390625</v>
      </c>
      <c r="F282" s="4">
        <f t="shared" si="9"/>
        <v>119.47262499999999</v>
      </c>
    </row>
    <row r="283" spans="1:6" ht="13.8">
      <c r="A283" s="19">
        <v>52001</v>
      </c>
      <c r="B283" s="21">
        <v>3</v>
      </c>
      <c r="C283" s="22">
        <v>116.306</v>
      </c>
      <c r="D283" s="20">
        <v>2.0579999999999998</v>
      </c>
      <c r="E283" s="4">
        <f t="shared" si="8"/>
        <v>1.125</v>
      </c>
      <c r="F283" s="4">
        <f t="shared" si="9"/>
        <v>117.431</v>
      </c>
    </row>
    <row r="284" spans="1:6" ht="13.8">
      <c r="A284" s="19">
        <v>52093</v>
      </c>
      <c r="B284" s="21">
        <v>2.75</v>
      </c>
      <c r="C284" s="22">
        <v>112.10599999999999</v>
      </c>
      <c r="D284" s="20">
        <v>2.0699999999999998</v>
      </c>
      <c r="E284" s="4">
        <f t="shared" si="8"/>
        <v>0.34375</v>
      </c>
      <c r="F284" s="4">
        <f t="shared" si="9"/>
        <v>112.44974999999999</v>
      </c>
    </row>
    <row r="285" spans="1:6" ht="13.8">
      <c r="A285" s="19">
        <v>52185</v>
      </c>
      <c r="B285" s="21">
        <v>2.75</v>
      </c>
      <c r="C285" s="22">
        <v>112.072</v>
      </c>
      <c r="D285" s="20">
        <v>2.081</v>
      </c>
      <c r="E285" s="4">
        <f t="shared" si="8"/>
        <v>1.03125</v>
      </c>
      <c r="F285" s="4">
        <f t="shared" si="9"/>
        <v>113.10325</v>
      </c>
    </row>
    <row r="286" spans="1:6" ht="13.8">
      <c r="A286" s="19">
        <v>52277</v>
      </c>
      <c r="B286" s="21">
        <v>3.125</v>
      </c>
      <c r="C286" s="22">
        <v>119.09</v>
      </c>
      <c r="D286" s="20">
        <v>2.0790000000000002</v>
      </c>
      <c r="E286" s="4">
        <f t="shared" si="8"/>
        <v>0.390625</v>
      </c>
      <c r="F286" s="4">
        <f t="shared" si="9"/>
        <v>119.480625</v>
      </c>
    </row>
    <row r="287" spans="1:6" ht="13.8">
      <c r="A287" s="19">
        <v>52366</v>
      </c>
      <c r="B287" s="21">
        <v>2.875</v>
      </c>
      <c r="C287" s="22">
        <v>114.212</v>
      </c>
      <c r="D287" s="20">
        <v>2.0859999999999999</v>
      </c>
      <c r="E287" s="4">
        <f t="shared" si="8"/>
        <v>1.078125</v>
      </c>
      <c r="F287" s="4">
        <f t="shared" si="9"/>
        <v>115.290125</v>
      </c>
    </row>
    <row r="288" spans="1:6" ht="13.8">
      <c r="A288" s="19">
        <v>52458</v>
      </c>
      <c r="B288" s="21">
        <v>3.625</v>
      </c>
      <c r="C288" s="22">
        <v>128.31</v>
      </c>
      <c r="D288" s="20">
        <v>2.0790000000000002</v>
      </c>
      <c r="E288" s="4">
        <f t="shared" si="8"/>
        <v>0.453125</v>
      </c>
      <c r="F288" s="4">
        <f t="shared" si="9"/>
        <v>128.763125</v>
      </c>
    </row>
    <row r="289" spans="1:6" ht="13.8">
      <c r="A289" s="19">
        <v>52550</v>
      </c>
      <c r="B289" s="21">
        <v>3.75</v>
      </c>
      <c r="C289" s="22">
        <v>131.17400000000001</v>
      </c>
      <c r="D289" s="20">
        <v>2.08</v>
      </c>
      <c r="E289" s="4">
        <f t="shared" si="8"/>
        <v>1.40625</v>
      </c>
      <c r="F289" s="4">
        <f t="shared" si="9"/>
        <v>132.58025000000001</v>
      </c>
    </row>
    <row r="290" spans="1:6" ht="13.8">
      <c r="A290" s="19">
        <v>52642</v>
      </c>
      <c r="B290" s="21">
        <v>3.625</v>
      </c>
      <c r="C290" s="22">
        <v>129.09200000000001</v>
      </c>
      <c r="D290" s="20">
        <v>2.0859999999999999</v>
      </c>
      <c r="E290" s="4">
        <f t="shared" si="8"/>
        <v>0.453125</v>
      </c>
      <c r="F290" s="4">
        <f t="shared" si="9"/>
        <v>129.54512500000001</v>
      </c>
    </row>
    <row r="291" spans="1:6" ht="13.8">
      <c r="A291" s="19">
        <v>52732</v>
      </c>
      <c r="B291" s="21">
        <v>3.375</v>
      </c>
      <c r="C291" s="22">
        <v>124.18</v>
      </c>
      <c r="D291" s="20">
        <v>2.093</v>
      </c>
      <c r="E291" s="4">
        <f t="shared" si="8"/>
        <v>1.265625</v>
      </c>
      <c r="F291" s="4">
        <f t="shared" si="9"/>
        <v>125.44562500000001</v>
      </c>
    </row>
    <row r="292" spans="1:6" ht="13.8">
      <c r="A292" s="19">
        <v>52824</v>
      </c>
      <c r="B292" s="21">
        <v>3.125</v>
      </c>
      <c r="C292" s="22">
        <v>119.262</v>
      </c>
      <c r="D292" s="20">
        <v>2.0979999999999999</v>
      </c>
      <c r="E292" s="4">
        <f t="shared" si="8"/>
        <v>0.390625</v>
      </c>
      <c r="F292" s="4">
        <f t="shared" si="9"/>
        <v>119.652625</v>
      </c>
    </row>
    <row r="293" spans="1:6" ht="13.8">
      <c r="A293" s="19">
        <v>52916</v>
      </c>
      <c r="B293" s="21">
        <v>3</v>
      </c>
      <c r="C293" s="22">
        <v>117.146</v>
      </c>
      <c r="D293" s="20">
        <v>2.1019999999999999</v>
      </c>
      <c r="E293" s="4">
        <f t="shared" si="8"/>
        <v>1.125</v>
      </c>
      <c r="F293" s="4">
        <f t="shared" si="9"/>
        <v>118.271</v>
      </c>
    </row>
    <row r="294" spans="1:6" ht="13.8">
      <c r="A294" s="19">
        <v>53008</v>
      </c>
      <c r="B294" s="21">
        <v>2.5</v>
      </c>
      <c r="C294" s="22">
        <v>107.20399999999999</v>
      </c>
      <c r="D294" s="20">
        <v>2.11</v>
      </c>
      <c r="E294" s="4">
        <f t="shared" si="8"/>
        <v>0.3125</v>
      </c>
      <c r="F294" s="4">
        <f t="shared" si="9"/>
        <v>107.51649999999999</v>
      </c>
    </row>
    <row r="295" spans="1:6" ht="13.8">
      <c r="A295" s="19">
        <v>53097</v>
      </c>
      <c r="B295" s="21">
        <v>3</v>
      </c>
      <c r="C295" s="22">
        <v>117.246</v>
      </c>
      <c r="D295" s="20">
        <v>2.1</v>
      </c>
      <c r="E295" s="4">
        <f t="shared" si="8"/>
        <v>1.125</v>
      </c>
      <c r="F295" s="4">
        <f t="shared" si="9"/>
        <v>118.371</v>
      </c>
    </row>
    <row r="296" spans="1:6" ht="13.8">
      <c r="A296" s="19">
        <v>53189</v>
      </c>
      <c r="B296" s="21">
        <v>2.875</v>
      </c>
      <c r="C296" s="22">
        <v>115.086</v>
      </c>
      <c r="D296" s="20">
        <v>2.1059999999999999</v>
      </c>
      <c r="E296" s="4">
        <f t="shared" si="8"/>
        <v>0.359375</v>
      </c>
      <c r="F296" s="4">
        <f t="shared" si="9"/>
        <v>115.445375</v>
      </c>
    </row>
    <row r="297" spans="1:6" ht="13.8">
      <c r="A297" s="19">
        <v>53281</v>
      </c>
      <c r="B297" s="21">
        <v>3</v>
      </c>
      <c r="C297" s="22">
        <v>117.316</v>
      </c>
      <c r="D297" s="20">
        <v>2.101</v>
      </c>
      <c r="E297" s="4">
        <f t="shared" si="8"/>
        <v>1.125</v>
      </c>
      <c r="F297" s="4">
        <f t="shared" si="9"/>
        <v>118.441</v>
      </c>
    </row>
    <row r="298" spans="1:6" ht="13.8">
      <c r="A298" s="19">
        <v>53373</v>
      </c>
      <c r="B298" s="21">
        <v>2.5</v>
      </c>
      <c r="C298" s="22">
        <v>107.22199999999999</v>
      </c>
      <c r="D298" s="20">
        <v>2.1179999999999999</v>
      </c>
      <c r="E298" s="4">
        <f t="shared" si="8"/>
        <v>0.3125</v>
      </c>
      <c r="F298" s="4">
        <f t="shared" si="9"/>
        <v>107.53449999999999</v>
      </c>
    </row>
    <row r="299" spans="1:6" ht="13.8">
      <c r="A299" s="19">
        <v>53462</v>
      </c>
      <c r="B299" s="21">
        <v>2.5</v>
      </c>
      <c r="C299" s="22">
        <v>107.232</v>
      </c>
      <c r="D299" s="20">
        <v>2.1190000000000002</v>
      </c>
      <c r="E299" s="4">
        <f t="shared" si="8"/>
        <v>0.9375</v>
      </c>
      <c r="F299" s="4">
        <f t="shared" si="9"/>
        <v>108.1695</v>
      </c>
    </row>
    <row r="300" spans="1:6" ht="13.8">
      <c r="A300" s="19">
        <v>53554</v>
      </c>
      <c r="B300" s="21">
        <v>2.25</v>
      </c>
      <c r="C300" s="22">
        <v>102.18</v>
      </c>
      <c r="D300" s="20">
        <v>2.1240000000000001</v>
      </c>
      <c r="E300" s="4">
        <f t="shared" si="8"/>
        <v>0.28125</v>
      </c>
      <c r="F300" s="4">
        <f t="shared" si="9"/>
        <v>102.46125000000001</v>
      </c>
    </row>
    <row r="301" spans="1:6" ht="13.8">
      <c r="A301" s="19">
        <v>53646</v>
      </c>
      <c r="B301" s="21">
        <v>2.875</v>
      </c>
      <c r="C301" s="22">
        <v>115.23399999999999</v>
      </c>
      <c r="D301" s="20">
        <v>2.11</v>
      </c>
      <c r="E301" s="4">
        <f t="shared" si="8"/>
        <v>1.078125</v>
      </c>
      <c r="F301" s="4">
        <f t="shared" si="9"/>
        <v>116.31212499999999</v>
      </c>
    </row>
    <row r="302" spans="1:6" ht="13.8">
      <c r="A302" s="19">
        <v>53738</v>
      </c>
      <c r="B302" s="21">
        <v>3</v>
      </c>
      <c r="C302" s="22">
        <v>118.17400000000001</v>
      </c>
      <c r="D302" s="20">
        <v>2.105</v>
      </c>
      <c r="E302" s="4">
        <f t="shared" si="8"/>
        <v>0.375</v>
      </c>
      <c r="F302" s="4">
        <f t="shared" si="9"/>
        <v>118.54900000000001</v>
      </c>
    </row>
    <row r="303" spans="1:6" ht="13.8">
      <c r="A303" s="19">
        <v>53827</v>
      </c>
      <c r="B303" s="21">
        <v>3</v>
      </c>
      <c r="C303" s="22">
        <v>118.16</v>
      </c>
      <c r="D303" s="20">
        <v>2.113</v>
      </c>
      <c r="E303" s="4">
        <f t="shared" si="8"/>
        <v>1.125</v>
      </c>
      <c r="F303" s="4">
        <f t="shared" si="9"/>
        <v>119.285</v>
      </c>
    </row>
    <row r="304" spans="1:6" ht="13.8">
      <c r="A304" s="19">
        <v>53919</v>
      </c>
      <c r="B304" s="21">
        <v>2.75</v>
      </c>
      <c r="C304" s="22">
        <v>113.07</v>
      </c>
      <c r="D304" s="20">
        <v>2.1190000000000002</v>
      </c>
      <c r="E304" s="4">
        <f t="shared" si="8"/>
        <v>0.34375</v>
      </c>
      <c r="F304" s="4">
        <f t="shared" si="9"/>
        <v>113.41374999999999</v>
      </c>
    </row>
    <row r="305" spans="1:6" ht="13.8">
      <c r="A305" s="19">
        <v>54011</v>
      </c>
      <c r="B305" s="21">
        <v>2.75</v>
      </c>
      <c r="C305" s="22">
        <v>113.09399999999999</v>
      </c>
      <c r="D305" s="20">
        <v>2.12</v>
      </c>
      <c r="E305" s="4">
        <f t="shared" si="8"/>
        <v>1.03125</v>
      </c>
      <c r="F305" s="4">
        <f t="shared" si="9"/>
        <v>114.12524999999999</v>
      </c>
    </row>
    <row r="306" spans="1:6" ht="13.8">
      <c r="A306" s="19">
        <v>54103</v>
      </c>
      <c r="B306" s="21">
        <v>3</v>
      </c>
      <c r="C306" s="22">
        <v>118.236</v>
      </c>
      <c r="D306" s="20">
        <v>2.1179999999999999</v>
      </c>
      <c r="E306" s="4">
        <f t="shared" si="8"/>
        <v>0.375</v>
      </c>
      <c r="F306" s="4">
        <f t="shared" si="9"/>
        <v>118.611</v>
      </c>
    </row>
    <row r="307" spans="1:6" ht="13.8">
      <c r="A307" s="19">
        <v>54193</v>
      </c>
      <c r="B307" s="21">
        <v>3.125</v>
      </c>
      <c r="C307" s="22">
        <v>121.176</v>
      </c>
      <c r="D307" s="20">
        <v>2.117</v>
      </c>
      <c r="E307" s="4">
        <f t="shared" si="8"/>
        <v>1.171875</v>
      </c>
      <c r="F307" s="4">
        <f t="shared" si="9"/>
        <v>122.347875</v>
      </c>
    </row>
    <row r="308" spans="1:6" ht="13.8">
      <c r="A308" s="19">
        <v>54285</v>
      </c>
      <c r="B308" s="21">
        <v>3</v>
      </c>
      <c r="C308" s="22">
        <v>118.30200000000001</v>
      </c>
      <c r="D308" s="20">
        <v>2.1190000000000002</v>
      </c>
      <c r="E308" s="4">
        <f t="shared" si="8"/>
        <v>0.375</v>
      </c>
      <c r="F308" s="4">
        <f t="shared" si="9"/>
        <v>118.67700000000001</v>
      </c>
    </row>
    <row r="309" spans="1:6" ht="13.8">
      <c r="A309" s="19">
        <v>54377</v>
      </c>
      <c r="B309" s="21">
        <v>3.375</v>
      </c>
      <c r="C309" s="22">
        <v>127.14</v>
      </c>
      <c r="D309" s="20">
        <v>2.109</v>
      </c>
      <c r="E309" s="4">
        <f t="shared" si="8"/>
        <v>1.265625</v>
      </c>
      <c r="F309" s="4">
        <f t="shared" si="9"/>
        <v>128.40562499999999</v>
      </c>
    </row>
    <row r="310" spans="1:6" ht="13.8">
      <c r="A310" s="19">
        <v>54469</v>
      </c>
      <c r="B310" s="21">
        <v>3</v>
      </c>
      <c r="C310" s="22">
        <v>119.072</v>
      </c>
      <c r="D310" s="20">
        <v>2.1179999999999999</v>
      </c>
      <c r="E310" s="4">
        <f t="shared" si="8"/>
        <v>0.375</v>
      </c>
      <c r="F310" s="4">
        <f t="shared" si="9"/>
        <v>119.447</v>
      </c>
    </row>
    <row r="311" spans="1:6" ht="13.8">
      <c r="A311" s="19">
        <v>54558</v>
      </c>
      <c r="B311" s="21">
        <v>2.875</v>
      </c>
      <c r="C311" s="22">
        <v>116.206</v>
      </c>
      <c r="D311" s="20">
        <v>2.1160000000000001</v>
      </c>
      <c r="E311" s="4">
        <f t="shared" si="8"/>
        <v>1.078125</v>
      </c>
      <c r="F311" s="4">
        <f t="shared" si="9"/>
        <v>117.284125</v>
      </c>
    </row>
    <row r="312" spans="1:6" ht="13.8">
      <c r="A312" s="19">
        <v>54650</v>
      </c>
      <c r="B312" s="21">
        <v>2.25</v>
      </c>
      <c r="C312" s="22">
        <v>102.26600000000001</v>
      </c>
      <c r="D312" s="20">
        <v>2.121</v>
      </c>
      <c r="E312" s="4">
        <f t="shared" si="8"/>
        <v>0.28125</v>
      </c>
      <c r="F312" s="4">
        <f t="shared" si="9"/>
        <v>102.54725000000001</v>
      </c>
    </row>
  </sheetData>
  <mergeCells count="1">
    <mergeCell ref="A1:K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5A881-7489-4327-856D-CBE32D35B921}">
  <sheetPr codeName="Sheet6"/>
  <dimension ref="A1:M312"/>
  <sheetViews>
    <sheetView topLeftCell="A42" zoomScale="92" workbookViewId="0">
      <selection activeCell="Q15" sqref="Q15"/>
    </sheetView>
  </sheetViews>
  <sheetFormatPr defaultRowHeight="13.2"/>
  <cols>
    <col min="1" max="1" width="24.109375" bestFit="1" customWidth="1"/>
    <col min="2" max="2" width="10.6640625" bestFit="1" customWidth="1"/>
    <col min="3" max="5" width="9" bestFit="1" customWidth="1"/>
    <col min="6" max="6" width="9.21875" bestFit="1" customWidth="1"/>
    <col min="7" max="7" width="9" bestFit="1" customWidth="1"/>
    <col min="8" max="8" width="9.5546875" bestFit="1" customWidth="1"/>
    <col min="9" max="9" width="9" bestFit="1" customWidth="1"/>
    <col min="12" max="12" width="17.5546875" bestFit="1" customWidth="1"/>
  </cols>
  <sheetData>
    <row r="1" spans="1:13" ht="17.399999999999999">
      <c r="A1" s="32" t="s">
        <v>42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</row>
    <row r="2" spans="1:13">
      <c r="A2" t="s">
        <v>43</v>
      </c>
      <c r="B2" s="15">
        <v>43738</v>
      </c>
    </row>
    <row r="3" spans="1:13" ht="55.2">
      <c r="A3" s="16" t="s">
        <v>5</v>
      </c>
      <c r="B3" s="16" t="s">
        <v>36</v>
      </c>
      <c r="C3" s="17" t="s">
        <v>37</v>
      </c>
      <c r="D3" s="18" t="s">
        <v>38</v>
      </c>
      <c r="E3" s="16" t="s">
        <v>39</v>
      </c>
      <c r="F3" s="17" t="s">
        <v>41</v>
      </c>
      <c r="G3" s="17" t="s">
        <v>44</v>
      </c>
      <c r="H3" s="17" t="s">
        <v>6</v>
      </c>
      <c r="I3" s="17" t="s">
        <v>45</v>
      </c>
    </row>
    <row r="4" spans="1:13" ht="13.8">
      <c r="A4" s="25">
        <v>43753</v>
      </c>
      <c r="B4" s="26">
        <v>1</v>
      </c>
      <c r="C4" s="27">
        <v>99.31</v>
      </c>
      <c r="D4" s="28">
        <v>1.8169999999999999</v>
      </c>
      <c r="E4" s="4">
        <f>COUPDAYBS($B$2,A4,2,1)/COUPDAYS($B$2,A4,2,1)*(B4/2)</f>
        <v>0.45901639344262296</v>
      </c>
      <c r="F4" s="4">
        <f>E4+C4</f>
        <v>99.769016393442627</v>
      </c>
      <c r="G4" s="4">
        <f>YEARFRAC($B$2,A4,)</f>
        <v>4.1666666666666664E-2</v>
      </c>
      <c r="H4" s="23">
        <f>$L$4+($L$5+$L$6)*$L$7*(1-EXP(-G4/$L$7))/G4-$L$6*EXP(-G4/$L$7)</f>
        <v>2.378540609564379E-2</v>
      </c>
      <c r="I4" s="2" cm="1">
        <f t="array" ref="I4">NSprice($L$4,$L$5,$L$6,$L$7,MOD(G4,0.5),(G4-MOD(G4,0.5))*2+1,B4/100,2)</f>
        <v>100.40044795107929</v>
      </c>
      <c r="K4" t="s">
        <v>46</v>
      </c>
      <c r="L4" s="23">
        <v>2.7112860775815536E-2</v>
      </c>
    </row>
    <row r="5" spans="1:13" ht="13.8">
      <c r="A5" s="25">
        <v>43769</v>
      </c>
      <c r="B5" s="26">
        <v>1.25</v>
      </c>
      <c r="C5" s="27">
        <v>99.31</v>
      </c>
      <c r="D5" s="28">
        <v>1.631</v>
      </c>
      <c r="E5" s="4">
        <f t="shared" ref="E5:E68" si="0">COUPDAYBS($B$2,A5,2,1)/COUPDAYS($B$2,A5,2,1)*(B5/2)</f>
        <v>0.51970108695652173</v>
      </c>
      <c r="F5" s="4">
        <f t="shared" ref="F5:F68" si="1">E5+C5</f>
        <v>99.829701086956518</v>
      </c>
      <c r="G5" s="4">
        <f t="shared" ref="G5:G68" si="2">YEARFRAC($B$2,A5,)</f>
        <v>8.3333333333333329E-2</v>
      </c>
      <c r="H5" s="23">
        <f t="shared" ref="H5:H68" si="3">$L$4+($L$5+$L$6)*$L$7*(1-EXP(-G5/$L$7))/G5-$L$6*EXP(-G5/$L$7)</f>
        <v>2.3645483342846222E-2</v>
      </c>
      <c r="I5" s="2" cm="1">
        <f t="array" ref="I5">NSprice($L$4,$L$5,$L$6,$L$7,MOD(G5,0.5),(G5-MOD(G5,0.5))*2+1,B5/100,2)</f>
        <v>100.42691799001275</v>
      </c>
      <c r="K5" t="s">
        <v>47</v>
      </c>
      <c r="L5" s="23">
        <v>-3.1854966586438056E-3</v>
      </c>
    </row>
    <row r="6" spans="1:13" ht="13.8">
      <c r="A6" s="25">
        <v>43769</v>
      </c>
      <c r="B6" s="26">
        <v>1.5</v>
      </c>
      <c r="C6" s="27">
        <v>99.31</v>
      </c>
      <c r="D6" s="28">
        <v>1.88</v>
      </c>
      <c r="E6" s="4">
        <f t="shared" si="0"/>
        <v>0.62364130434782616</v>
      </c>
      <c r="F6" s="4">
        <f t="shared" si="1"/>
        <v>99.93364130434783</v>
      </c>
      <c r="G6" s="4">
        <f t="shared" si="2"/>
        <v>8.3333333333333329E-2</v>
      </c>
      <c r="H6" s="23">
        <f t="shared" si="3"/>
        <v>2.3645483342846222E-2</v>
      </c>
      <c r="I6" s="2" cm="1">
        <f t="array" ref="I6">NSprice($L$4,$L$5,$L$6,$L$7,MOD(G6,0.5),(G6-MOD(G6,0.5))*2+1,B6/100,2)</f>
        <v>100.55167192540408</v>
      </c>
      <c r="K6" t="s">
        <v>48</v>
      </c>
      <c r="L6" s="23">
        <v>-3.1167694628736298E-2</v>
      </c>
    </row>
    <row r="7" spans="1:13" ht="13.8">
      <c r="A7" s="25">
        <v>43784</v>
      </c>
      <c r="B7" s="26">
        <v>1</v>
      </c>
      <c r="C7" s="27">
        <v>99.29</v>
      </c>
      <c r="D7" s="28">
        <v>1.768</v>
      </c>
      <c r="E7" s="4">
        <f t="shared" si="0"/>
        <v>0.375</v>
      </c>
      <c r="F7" s="4">
        <f t="shared" si="1"/>
        <v>99.665000000000006</v>
      </c>
      <c r="G7" s="4">
        <f t="shared" si="2"/>
        <v>0.125</v>
      </c>
      <c r="H7" s="23">
        <f t="shared" si="3"/>
        <v>2.3507572152869752E-2</v>
      </c>
      <c r="I7" s="2" cm="1">
        <f t="array" ref="I7">NSprice($L$4,$L$5,$L$6,$L$7,MOD(G7,0.5),(G7-MOD(G7,0.5))*2+1,B7/100,2)</f>
        <v>100.20511958217615</v>
      </c>
      <c r="K7" t="s">
        <v>27</v>
      </c>
      <c r="L7" s="23">
        <v>4.0771274664747086</v>
      </c>
    </row>
    <row r="8" spans="1:13" ht="13.8">
      <c r="A8" s="25">
        <v>43784</v>
      </c>
      <c r="B8" s="26">
        <v>3.375</v>
      </c>
      <c r="C8" s="27">
        <v>100.062</v>
      </c>
      <c r="D8" s="28">
        <v>1.758</v>
      </c>
      <c r="E8" s="4">
        <f t="shared" si="0"/>
        <v>1.265625</v>
      </c>
      <c r="F8" s="4">
        <f t="shared" si="1"/>
        <v>101.327625</v>
      </c>
      <c r="G8" s="4">
        <f t="shared" si="2"/>
        <v>0.125</v>
      </c>
      <c r="H8" s="23">
        <f t="shared" si="3"/>
        <v>2.3507572152869752E-2</v>
      </c>
      <c r="I8" s="2" cm="1">
        <f t="array" ref="I8">NSprice($L$4,$L$5,$L$6,$L$7,MOD(G8,0.5),(G8-MOD(G8,0.5))*2+1,B8/100,2)</f>
        <v>101.38913529863221</v>
      </c>
      <c r="K8" t="s">
        <v>7</v>
      </c>
      <c r="L8" s="24" cm="1">
        <f t="array" ref="L8">SUM((I4:I312-F4:F312)^2)</f>
        <v>58.961550918014545</v>
      </c>
    </row>
    <row r="9" spans="1:13" ht="13.8">
      <c r="A9" s="25">
        <v>43799</v>
      </c>
      <c r="B9" s="26">
        <v>1</v>
      </c>
      <c r="C9" s="27">
        <v>99.274000000000001</v>
      </c>
      <c r="D9" s="28">
        <v>1.86</v>
      </c>
      <c r="E9" s="4">
        <f t="shared" si="0"/>
        <v>0.33333333333333331</v>
      </c>
      <c r="F9" s="4">
        <f t="shared" si="1"/>
        <v>99.60733333333333</v>
      </c>
      <c r="G9" s="4">
        <f t="shared" si="2"/>
        <v>0.16666666666666666</v>
      </c>
      <c r="H9" s="23">
        <f t="shared" si="3"/>
        <v>2.3371649079225669E-2</v>
      </c>
      <c r="I9" s="2" cm="1">
        <f t="array" ref="I9">NSprice($L$4,$L$5,$L$6,$L$7,MOD(G9,0.5),(G9-MOD(G9,0.5))*2+1,B9/100,2)</f>
        <v>100.10928634049814</v>
      </c>
    </row>
    <row r="10" spans="1:13" ht="13.8">
      <c r="A10" s="25">
        <v>43799</v>
      </c>
      <c r="B10" s="26">
        <v>1.5</v>
      </c>
      <c r="C10" s="27">
        <v>99.3</v>
      </c>
      <c r="D10" s="28">
        <v>1.879</v>
      </c>
      <c r="E10" s="4">
        <f t="shared" si="0"/>
        <v>0.5</v>
      </c>
      <c r="F10" s="4">
        <f t="shared" si="1"/>
        <v>99.8</v>
      </c>
      <c r="G10" s="4">
        <f t="shared" si="2"/>
        <v>0.16666666666666666</v>
      </c>
      <c r="H10" s="23">
        <f t="shared" si="3"/>
        <v>2.3371649079225669E-2</v>
      </c>
      <c r="I10" s="2" cm="1">
        <f t="array" ref="I10">NSprice($L$4,$L$5,$L$6,$L$7,MOD(G10,0.5),(G10-MOD(G10,0.5))*2+1,B10/100,2)</f>
        <v>100.35831441597203</v>
      </c>
    </row>
    <row r="11" spans="1:13" ht="13.8">
      <c r="A11" s="25">
        <v>43799</v>
      </c>
      <c r="B11" s="26">
        <v>1.75</v>
      </c>
      <c r="C11" s="27">
        <v>99.311999999999998</v>
      </c>
      <c r="D11" s="28">
        <v>1.8879999999999999</v>
      </c>
      <c r="E11" s="4">
        <f t="shared" si="0"/>
        <v>0.58333333333333326</v>
      </c>
      <c r="F11" s="4">
        <f t="shared" si="1"/>
        <v>99.895333333333326</v>
      </c>
      <c r="G11" s="4">
        <f t="shared" si="2"/>
        <v>0.16666666666666666</v>
      </c>
      <c r="H11" s="23">
        <f t="shared" si="3"/>
        <v>2.3371649079225669E-2</v>
      </c>
      <c r="I11" s="2" cm="1">
        <f t="array" ref="I11">NSprice($L$4,$L$5,$L$6,$L$7,MOD(G11,0.5),(G11-MOD(G11,0.5))*2+1,B11/100,2)</f>
        <v>100.48282845370896</v>
      </c>
    </row>
    <row r="12" spans="1:13" ht="13.8">
      <c r="A12" s="25">
        <v>43814</v>
      </c>
      <c r="B12" s="26">
        <v>1.375</v>
      </c>
      <c r="C12" s="27">
        <v>99.292000000000002</v>
      </c>
      <c r="D12" s="28">
        <v>1.7929999999999999</v>
      </c>
      <c r="E12" s="4">
        <f t="shared" si="0"/>
        <v>0.40198087431693985</v>
      </c>
      <c r="F12" s="4">
        <f t="shared" si="1"/>
        <v>99.693980874316935</v>
      </c>
      <c r="G12" s="4">
        <f t="shared" si="2"/>
        <v>0.20833333333333334</v>
      </c>
      <c r="H12" s="23">
        <f t="shared" si="3"/>
        <v>2.3237690932082309E-2</v>
      </c>
      <c r="I12" s="2" cm="1">
        <f t="array" ref="I12">NSprice($L$4,$L$5,$L$6,$L$7,MOD(G12,0.5),(G12-MOD(G12,0.5))*2+1,B12/100,2)</f>
        <v>100.20123113245619</v>
      </c>
    </row>
    <row r="13" spans="1:13" ht="13.8">
      <c r="A13" s="25">
        <v>43830</v>
      </c>
      <c r="B13" s="26">
        <v>1.125</v>
      </c>
      <c r="C13" s="27">
        <v>99.262</v>
      </c>
      <c r="D13" s="28">
        <v>1.8540000000000001</v>
      </c>
      <c r="E13" s="4">
        <f t="shared" si="0"/>
        <v>0.28125</v>
      </c>
      <c r="F13" s="4">
        <f t="shared" si="1"/>
        <v>99.54325</v>
      </c>
      <c r="G13" s="4">
        <f t="shared" si="2"/>
        <v>0.25</v>
      </c>
      <c r="H13" s="23">
        <f t="shared" si="3"/>
        <v>2.3105674775532357E-2</v>
      </c>
      <c r="I13" s="2" cm="1">
        <f t="array" ref="I13">NSprice($L$4,$L$5,$L$6,$L$7,MOD(G13,0.5),(G13-MOD(G13,0.5))*2+1,B13/100,2)</f>
        <v>99.983283404441323</v>
      </c>
    </row>
    <row r="14" spans="1:13" ht="13.8">
      <c r="A14" s="25">
        <v>43830</v>
      </c>
      <c r="B14" s="26">
        <v>1.625</v>
      </c>
      <c r="C14" s="27">
        <v>99.3</v>
      </c>
      <c r="D14" s="28">
        <v>1.8759999999999999</v>
      </c>
      <c r="E14" s="4">
        <f t="shared" si="0"/>
        <v>0.40625</v>
      </c>
      <c r="F14" s="4">
        <f t="shared" si="1"/>
        <v>99.706249999999997</v>
      </c>
      <c r="G14" s="4">
        <f t="shared" si="2"/>
        <v>0.25</v>
      </c>
      <c r="H14" s="23">
        <f t="shared" si="3"/>
        <v>2.3105674775532357E-2</v>
      </c>
      <c r="I14" s="2" cm="1">
        <f t="array" ref="I14">NSprice($L$4,$L$5,$L$6,$L$7,MOD(G14,0.5),(G14-MOD(G14,0.5))*2+1,B14/100,2)</f>
        <v>100.23184346262514</v>
      </c>
    </row>
    <row r="15" spans="1:13" ht="13.8">
      <c r="A15" s="25">
        <v>43830</v>
      </c>
      <c r="B15" s="26">
        <v>1.875</v>
      </c>
      <c r="C15" s="27">
        <v>100.002</v>
      </c>
      <c r="D15" s="28">
        <v>1.83</v>
      </c>
      <c r="E15" s="4">
        <f t="shared" si="0"/>
        <v>0.46875</v>
      </c>
      <c r="F15" s="4">
        <f t="shared" si="1"/>
        <v>100.47075</v>
      </c>
      <c r="G15" s="4">
        <f t="shared" si="2"/>
        <v>0.25</v>
      </c>
      <c r="H15" s="23">
        <f t="shared" si="3"/>
        <v>2.3105674775532357E-2</v>
      </c>
      <c r="I15" s="2" cm="1">
        <f t="array" ref="I15">NSprice($L$4,$L$5,$L$6,$L$7,MOD(G15,0.5),(G15-MOD(G15,0.5))*2+1,B15/100,2)</f>
        <v>100.35612349171704</v>
      </c>
    </row>
    <row r="16" spans="1:13" ht="13.8">
      <c r="A16" s="25">
        <v>43845</v>
      </c>
      <c r="B16" s="26">
        <v>1.375</v>
      </c>
      <c r="C16" s="27">
        <v>99.28</v>
      </c>
      <c r="D16" s="28">
        <v>1.8089999999999999</v>
      </c>
      <c r="E16" s="4">
        <f t="shared" si="0"/>
        <v>0.28770380434782611</v>
      </c>
      <c r="F16" s="4">
        <f t="shared" si="1"/>
        <v>99.567703804347829</v>
      </c>
      <c r="G16" s="4">
        <f t="shared" si="2"/>
        <v>0.29166666666666669</v>
      </c>
      <c r="H16" s="23">
        <f t="shared" si="3"/>
        <v>2.2975577924888038E-2</v>
      </c>
      <c r="I16" s="2" cm="1">
        <f t="array" ref="I16">NSprice($L$4,$L$5,$L$6,$L$7,MOD(G16,0.5),(G16-MOD(G16,0.5))*2+1,B16/100,2)</f>
        <v>100.01502760113182</v>
      </c>
    </row>
    <row r="17" spans="1:9" ht="13.8">
      <c r="A17" s="25">
        <v>43861</v>
      </c>
      <c r="B17" s="26">
        <v>1.25</v>
      </c>
      <c r="C17" s="27">
        <v>99.256</v>
      </c>
      <c r="D17" s="28">
        <v>1.8420000000000001</v>
      </c>
      <c r="E17" s="4">
        <f t="shared" si="0"/>
        <v>0.20720108695652173</v>
      </c>
      <c r="F17" s="4">
        <f t="shared" si="1"/>
        <v>99.463201086956516</v>
      </c>
      <c r="G17" s="4">
        <f t="shared" si="2"/>
        <v>0.33333333333333331</v>
      </c>
      <c r="H17" s="23">
        <f t="shared" si="3"/>
        <v>2.2847377944004602E-2</v>
      </c>
      <c r="I17" s="2" cm="1">
        <f t="array" ref="I17">NSprice($L$4,$L$5,$L$6,$L$7,MOD(G17,0.5),(G17-MOD(G17,0.5))*2+1,B17/100,2)</f>
        <v>99.861571610870698</v>
      </c>
    </row>
    <row r="18" spans="1:9" ht="13.8">
      <c r="A18" s="25">
        <v>43861</v>
      </c>
      <c r="B18" s="26">
        <v>1.375</v>
      </c>
      <c r="C18" s="27">
        <v>99.266000000000005</v>
      </c>
      <c r="D18" s="28">
        <v>1.8720000000000001</v>
      </c>
      <c r="E18" s="4">
        <f t="shared" si="0"/>
        <v>0.22792119565217389</v>
      </c>
      <c r="F18" s="4">
        <f t="shared" si="1"/>
        <v>99.493921195652177</v>
      </c>
      <c r="G18" s="4">
        <f t="shared" si="2"/>
        <v>0.33333333333333331</v>
      </c>
      <c r="H18" s="23">
        <f t="shared" si="3"/>
        <v>2.2847377944004602E-2</v>
      </c>
      <c r="I18" s="2" cm="1">
        <f t="array" ref="I18">NSprice($L$4,$L$5,$L$6,$L$7,MOD(G18,0.5),(G18-MOD(G18,0.5))*2+1,B18/100,2)</f>
        <v>99.923597431747012</v>
      </c>
    </row>
    <row r="19" spans="1:9" ht="13.8">
      <c r="A19" s="25">
        <v>43861</v>
      </c>
      <c r="B19" s="26">
        <v>2</v>
      </c>
      <c r="C19" s="27">
        <v>100.014</v>
      </c>
      <c r="D19" s="28">
        <v>1.8540000000000001</v>
      </c>
      <c r="E19" s="4">
        <f t="shared" si="0"/>
        <v>0.33152173913043476</v>
      </c>
      <c r="F19" s="4">
        <f t="shared" si="1"/>
        <v>100.34552173913043</v>
      </c>
      <c r="G19" s="4">
        <f t="shared" si="2"/>
        <v>0.33333333333333331</v>
      </c>
      <c r="H19" s="23">
        <f t="shared" si="3"/>
        <v>2.2847377944004602E-2</v>
      </c>
      <c r="I19" s="2" cm="1">
        <f t="array" ref="I19">NSprice($L$4,$L$5,$L$6,$L$7,MOD(G19,0.5),(G19-MOD(G19,0.5))*2+1,B19/100,2)</f>
        <v>100.2337265361286</v>
      </c>
    </row>
    <row r="20" spans="1:9" ht="13.8">
      <c r="A20" s="25">
        <v>43876</v>
      </c>
      <c r="B20" s="26">
        <v>1.375</v>
      </c>
      <c r="C20" s="27">
        <v>99.26</v>
      </c>
      <c r="D20" s="28">
        <v>1.881</v>
      </c>
      <c r="E20" s="4">
        <f t="shared" si="0"/>
        <v>0.171875</v>
      </c>
      <c r="F20" s="4">
        <f t="shared" si="1"/>
        <v>99.431875000000005</v>
      </c>
      <c r="G20" s="4">
        <f t="shared" si="2"/>
        <v>0.375</v>
      </c>
      <c r="H20" s="23">
        <f t="shared" si="3"/>
        <v>2.2721052642632186E-2</v>
      </c>
      <c r="I20" s="2" cm="1">
        <f t="array" ref="I20">NSprice($L$4,$L$5,$L$6,$L$7,MOD(G20,0.5),(G20-MOD(G20,0.5))*2+1,B20/100,2)</f>
        <v>99.833247208033526</v>
      </c>
    </row>
    <row r="21" spans="1:9" ht="13.8">
      <c r="A21" s="25">
        <v>43876</v>
      </c>
      <c r="B21" s="26">
        <v>3.625</v>
      </c>
      <c r="C21" s="27">
        <v>100.20399999999999</v>
      </c>
      <c r="D21" s="28">
        <v>1.8859999999999999</v>
      </c>
      <c r="E21" s="4">
        <f t="shared" si="0"/>
        <v>0.453125</v>
      </c>
      <c r="F21" s="4">
        <f t="shared" si="1"/>
        <v>100.65712499999999</v>
      </c>
      <c r="G21" s="4">
        <f t="shared" si="2"/>
        <v>0.375</v>
      </c>
      <c r="H21" s="23">
        <f t="shared" si="3"/>
        <v>2.2721052642632186E-2</v>
      </c>
      <c r="I21" s="2" cm="1">
        <f t="array" ref="I21">NSprice($L$4,$L$5,$L$6,$L$7,MOD(G21,0.5),(G21-MOD(G21,0.5))*2+1,B21/100,2)</f>
        <v>100.94870248410093</v>
      </c>
    </row>
    <row r="22" spans="1:9" ht="13.8">
      <c r="A22" s="25">
        <v>43876</v>
      </c>
      <c r="B22" s="26">
        <v>8.5</v>
      </c>
      <c r="C22" s="27">
        <v>102.154</v>
      </c>
      <c r="D22" s="28">
        <v>1.766</v>
      </c>
      <c r="E22" s="4">
        <f t="shared" si="0"/>
        <v>1.0625</v>
      </c>
      <c r="F22" s="4">
        <f t="shared" si="1"/>
        <v>103.2165</v>
      </c>
      <c r="G22" s="4">
        <f t="shared" si="2"/>
        <v>0.375</v>
      </c>
      <c r="H22" s="23">
        <f t="shared" si="3"/>
        <v>2.2721052642632186E-2</v>
      </c>
      <c r="I22" s="2" cm="1">
        <f t="array" ref="I22">NSprice($L$4,$L$5,$L$6,$L$7,MOD(G22,0.5),(G22-MOD(G22,0.5))*2+1,B22/100,2)</f>
        <v>103.36552224891366</v>
      </c>
    </row>
    <row r="23" spans="1:9" ht="13.8">
      <c r="A23" s="25">
        <v>43890</v>
      </c>
      <c r="B23" s="26">
        <v>1.25</v>
      </c>
      <c r="C23" s="27">
        <v>99.244</v>
      </c>
      <c r="D23" s="28">
        <v>1.819</v>
      </c>
      <c r="E23" s="4">
        <f t="shared" si="0"/>
        <v>0.10302197802197802</v>
      </c>
      <c r="F23" s="4">
        <f t="shared" si="1"/>
        <v>99.347021978021971</v>
      </c>
      <c r="G23" s="4">
        <f t="shared" si="2"/>
        <v>0.41388888888888886</v>
      </c>
      <c r="H23" s="23">
        <f t="shared" si="3"/>
        <v>2.2604821040960184E-2</v>
      </c>
      <c r="I23" s="2" cm="1">
        <f t="array" ref="I23">NSprice($L$4,$L$5,$L$6,$L$7,MOD(G23,0.5),(G23-MOD(G23,0.5))*2+1,B23/100,2)</f>
        <v>99.687954426044797</v>
      </c>
    </row>
    <row r="24" spans="1:9" ht="13.8">
      <c r="A24" s="25">
        <v>43890</v>
      </c>
      <c r="B24" s="26">
        <v>1.375</v>
      </c>
      <c r="C24" s="27">
        <v>99.256</v>
      </c>
      <c r="D24" s="28">
        <v>1.849</v>
      </c>
      <c r="E24" s="4">
        <f t="shared" si="0"/>
        <v>0.11332417582417582</v>
      </c>
      <c r="F24" s="4">
        <f t="shared" si="1"/>
        <v>99.369324175824175</v>
      </c>
      <c r="G24" s="4">
        <f t="shared" si="2"/>
        <v>0.41388888888888886</v>
      </c>
      <c r="H24" s="23">
        <f t="shared" si="3"/>
        <v>2.2604821040960184E-2</v>
      </c>
      <c r="I24" s="2" cm="1">
        <f t="array" ref="I24">NSprice($L$4,$L$5,$L$6,$L$7,MOD(G24,0.5),(G24-MOD(G24,0.5))*2+1,B24/100,2)</f>
        <v>99.74987241016035</v>
      </c>
    </row>
    <row r="25" spans="1:9" ht="13.8">
      <c r="A25" s="25">
        <v>43890</v>
      </c>
      <c r="B25" s="26">
        <v>2.25</v>
      </c>
      <c r="C25" s="27">
        <v>100.056</v>
      </c>
      <c r="D25" s="28">
        <v>1.8120000000000001</v>
      </c>
      <c r="E25" s="4">
        <f t="shared" si="0"/>
        <v>0.18543956043956045</v>
      </c>
      <c r="F25" s="4">
        <f t="shared" si="1"/>
        <v>100.24143956043956</v>
      </c>
      <c r="G25" s="4">
        <f t="shared" si="2"/>
        <v>0.41388888888888886</v>
      </c>
      <c r="H25" s="23">
        <f t="shared" si="3"/>
        <v>2.2604821040960184E-2</v>
      </c>
      <c r="I25" s="2" cm="1">
        <f t="array" ref="I25">NSprice($L$4,$L$5,$L$6,$L$7,MOD(G25,0.5),(G25-MOD(G25,0.5))*2+1,B25/100,2)</f>
        <v>100.18329829896925</v>
      </c>
    </row>
    <row r="26" spans="1:9" ht="13.8">
      <c r="A26" s="25">
        <v>43905</v>
      </c>
      <c r="B26" s="26">
        <v>1.625</v>
      </c>
      <c r="C26" s="27">
        <v>99.293999999999997</v>
      </c>
      <c r="D26" s="28">
        <v>1.7969999999999999</v>
      </c>
      <c r="E26" s="4">
        <f t="shared" si="0"/>
        <v>6.6964285714285712E-2</v>
      </c>
      <c r="F26" s="4">
        <f t="shared" si="1"/>
        <v>99.360964285714289</v>
      </c>
      <c r="G26" s="4">
        <f t="shared" si="2"/>
        <v>0.45833333333333331</v>
      </c>
      <c r="H26" s="23">
        <f t="shared" si="3"/>
        <v>2.2473938531201484E-2</v>
      </c>
      <c r="I26" s="2" cm="1">
        <f t="array" ref="I26">NSprice($L$4,$L$5,$L$6,$L$7,MOD(G26,0.5),(G26-MOD(G26,0.5))*2+1,B26/100,2)</f>
        <v>99.779405142589084</v>
      </c>
    </row>
    <row r="27" spans="1:9" ht="13.8">
      <c r="A27" s="25">
        <v>43921</v>
      </c>
      <c r="B27" s="26">
        <v>1.125</v>
      </c>
      <c r="C27" s="27">
        <v>99.21</v>
      </c>
      <c r="D27" s="28">
        <v>1.823</v>
      </c>
      <c r="E27" s="4">
        <f t="shared" si="0"/>
        <v>0</v>
      </c>
      <c r="F27" s="4">
        <f t="shared" si="1"/>
        <v>99.21</v>
      </c>
      <c r="G27" s="4">
        <f t="shared" si="2"/>
        <v>0.5</v>
      </c>
      <c r="H27" s="23">
        <f t="shared" si="3"/>
        <v>2.2353106546672084E-2</v>
      </c>
      <c r="I27" s="2" cm="1">
        <f t="array" ref="I27">NSprice($L$4,$L$5,$L$6,$L$7,MOD(G27,0.5),(G27-MOD(G27,0.5))*2+1,B27/100,2)</f>
        <v>100.00731542667685</v>
      </c>
    </row>
    <row r="28" spans="1:9" ht="13.8">
      <c r="A28" s="25">
        <v>43921</v>
      </c>
      <c r="B28" s="26">
        <v>1.375</v>
      </c>
      <c r="C28" s="27">
        <v>99.245999999999995</v>
      </c>
      <c r="D28" s="28">
        <v>1.835</v>
      </c>
      <c r="E28" s="4">
        <f t="shared" si="0"/>
        <v>0</v>
      </c>
      <c r="F28" s="4">
        <f t="shared" si="1"/>
        <v>99.245999999999995</v>
      </c>
      <c r="G28" s="4">
        <f t="shared" si="2"/>
        <v>0.5</v>
      </c>
      <c r="H28" s="23">
        <f t="shared" si="3"/>
        <v>2.2353106546672084E-2</v>
      </c>
      <c r="I28" s="2" cm="1">
        <f t="array" ref="I28">NSprice($L$4,$L$5,$L$6,$L$7,MOD(G28,0.5),(G28-MOD(G28,0.5))*2+1,B28/100,2)</f>
        <v>100.25592613572182</v>
      </c>
    </row>
    <row r="29" spans="1:9" ht="13.8">
      <c r="A29" s="25">
        <v>43921</v>
      </c>
      <c r="B29" s="26">
        <v>2.25</v>
      </c>
      <c r="C29" s="27">
        <v>100.066</v>
      </c>
      <c r="D29" s="28">
        <v>1.8220000000000001</v>
      </c>
      <c r="E29" s="4">
        <f t="shared" si="0"/>
        <v>0</v>
      </c>
      <c r="F29" s="4">
        <f t="shared" si="1"/>
        <v>100.066</v>
      </c>
      <c r="G29" s="4">
        <f t="shared" si="2"/>
        <v>0.5</v>
      </c>
      <c r="H29" s="23">
        <f t="shared" si="3"/>
        <v>2.2353106546672084E-2</v>
      </c>
      <c r="I29" s="2" cm="1">
        <f t="array" ref="I29">NSprice($L$4,$L$5,$L$6,$L$7,MOD(G29,0.5),(G29-MOD(G29,0.5))*2+1,B29/100,2)</f>
        <v>101.1260636173792</v>
      </c>
    </row>
    <row r="30" spans="1:9" ht="13.8">
      <c r="A30" s="25">
        <v>43951</v>
      </c>
      <c r="B30" s="26">
        <v>1.125</v>
      </c>
      <c r="C30" s="27">
        <v>99.191999999999993</v>
      </c>
      <c r="D30" s="28">
        <v>1.8160000000000001</v>
      </c>
      <c r="E30" s="4">
        <f t="shared" si="0"/>
        <v>0.47028688524590168</v>
      </c>
      <c r="F30" s="4">
        <f t="shared" si="1"/>
        <v>99.662286885245891</v>
      </c>
      <c r="G30" s="4">
        <f t="shared" si="2"/>
        <v>0.58333333333333337</v>
      </c>
      <c r="H30" s="23">
        <f t="shared" si="3"/>
        <v>2.2116786554472169E-2</v>
      </c>
      <c r="I30" s="2" cm="1">
        <f t="array" ref="I30">NSprice($L$4,$L$5,$L$6,$L$7,MOD(G30,0.5),(G30-MOD(G30,0.5))*2+1,B30/100,2)</f>
        <v>99.834823075893169</v>
      </c>
    </row>
    <row r="31" spans="1:9" ht="13.8">
      <c r="A31" s="25">
        <v>43951</v>
      </c>
      <c r="B31" s="26">
        <v>1.375</v>
      </c>
      <c r="C31" s="27">
        <v>99.231999999999999</v>
      </c>
      <c r="D31" s="28">
        <v>1.849</v>
      </c>
      <c r="E31" s="4">
        <f t="shared" si="0"/>
        <v>0.57479508196721318</v>
      </c>
      <c r="F31" s="4">
        <f t="shared" si="1"/>
        <v>99.806795081967209</v>
      </c>
      <c r="G31" s="4">
        <f t="shared" si="2"/>
        <v>0.58333333333333337</v>
      </c>
      <c r="H31" s="23">
        <f t="shared" si="3"/>
        <v>2.2116786554472169E-2</v>
      </c>
      <c r="I31" s="2" cm="1">
        <f t="array" ref="I31">NSprice($L$4,$L$5,$L$6,$L$7,MOD(G31,0.5),(G31-MOD(G31,0.5))*2+1,B31/100,2)</f>
        <v>100.0829746873151</v>
      </c>
    </row>
    <row r="32" spans="1:9" ht="13.8">
      <c r="A32" s="25">
        <v>43951</v>
      </c>
      <c r="B32" s="26">
        <v>2.375</v>
      </c>
      <c r="C32" s="27">
        <v>100.096</v>
      </c>
      <c r="D32" s="28">
        <v>1.845</v>
      </c>
      <c r="E32" s="4">
        <f t="shared" si="0"/>
        <v>0.99282786885245911</v>
      </c>
      <c r="F32" s="4">
        <f t="shared" si="1"/>
        <v>101.08882786885246</v>
      </c>
      <c r="G32" s="4">
        <f t="shared" si="2"/>
        <v>0.58333333333333337</v>
      </c>
      <c r="H32" s="23">
        <f t="shared" si="3"/>
        <v>2.2116786554472169E-2</v>
      </c>
      <c r="I32" s="2" cm="1">
        <f t="array" ref="I32">NSprice($L$4,$L$5,$L$6,$L$7,MOD(G32,0.5),(G32-MOD(G32,0.5))*2+1,B32/100,2)</f>
        <v>101.07558113300286</v>
      </c>
    </row>
    <row r="33" spans="1:9" ht="13.8">
      <c r="A33" s="25">
        <v>43966</v>
      </c>
      <c r="B33" s="26">
        <v>1.5</v>
      </c>
      <c r="C33" s="27">
        <v>99.254000000000005</v>
      </c>
      <c r="D33" s="28">
        <v>1.829</v>
      </c>
      <c r="E33" s="4">
        <f t="shared" si="0"/>
        <v>0.5625</v>
      </c>
      <c r="F33" s="4">
        <f t="shared" si="1"/>
        <v>99.816500000000005</v>
      </c>
      <c r="G33" s="4">
        <f t="shared" si="2"/>
        <v>0.625</v>
      </c>
      <c r="H33" s="23">
        <f t="shared" si="3"/>
        <v>2.2001256778311374E-2</v>
      </c>
      <c r="I33" s="2" cm="1">
        <f t="array" ref="I33">NSprice($L$4,$L$5,$L$6,$L$7,MOD(G33,0.5),(G33-MOD(G33,0.5))*2+1,B33/100,2)</f>
        <v>100.1218893641404</v>
      </c>
    </row>
    <row r="34" spans="1:9" ht="13.8">
      <c r="A34" s="25">
        <v>43966</v>
      </c>
      <c r="B34" s="26">
        <v>3.5</v>
      </c>
      <c r="C34" s="27">
        <v>101.01</v>
      </c>
      <c r="D34" s="28">
        <v>1.823</v>
      </c>
      <c r="E34" s="4">
        <f t="shared" si="0"/>
        <v>1.3125</v>
      </c>
      <c r="F34" s="4">
        <f t="shared" si="1"/>
        <v>102.32250000000001</v>
      </c>
      <c r="G34" s="4">
        <f t="shared" si="2"/>
        <v>0.625</v>
      </c>
      <c r="H34" s="23">
        <f t="shared" si="3"/>
        <v>2.2001256778311374E-2</v>
      </c>
      <c r="I34" s="2" cm="1">
        <f t="array" ref="I34">NSprice($L$4,$L$5,$L$6,$L$7,MOD(G34,0.5),(G34-MOD(G34,0.5))*2+1,B34/100,2)</f>
        <v>102.10529855533714</v>
      </c>
    </row>
    <row r="35" spans="1:9" ht="13.8">
      <c r="A35" s="25">
        <v>43966</v>
      </c>
      <c r="B35" s="26">
        <v>8.75</v>
      </c>
      <c r="C35" s="27">
        <v>104.096</v>
      </c>
      <c r="D35" s="28">
        <v>1.758</v>
      </c>
      <c r="E35" s="4">
        <f t="shared" si="0"/>
        <v>3.28125</v>
      </c>
      <c r="F35" s="4">
        <f t="shared" si="1"/>
        <v>107.37725</v>
      </c>
      <c r="G35" s="4">
        <f t="shared" si="2"/>
        <v>0.625</v>
      </c>
      <c r="H35" s="23">
        <f t="shared" si="3"/>
        <v>2.2001256778311374E-2</v>
      </c>
      <c r="I35" s="2" cm="1">
        <f t="array" ref="I35">NSprice($L$4,$L$5,$L$6,$L$7,MOD(G35,0.5),(G35-MOD(G35,0.5))*2+1,B35/100,2)</f>
        <v>107.3117476822286</v>
      </c>
    </row>
    <row r="36" spans="1:9" ht="13.8">
      <c r="A36" s="25">
        <v>43982</v>
      </c>
      <c r="B36" s="26">
        <v>1.375</v>
      </c>
      <c r="C36" s="27">
        <v>99.22</v>
      </c>
      <c r="D36" s="28">
        <v>1.85</v>
      </c>
      <c r="E36" s="4">
        <f t="shared" si="0"/>
        <v>0.45833333333333331</v>
      </c>
      <c r="F36" s="4">
        <f t="shared" si="1"/>
        <v>99.678333333333327</v>
      </c>
      <c r="G36" s="4">
        <f t="shared" si="2"/>
        <v>0.66666666666666663</v>
      </c>
      <c r="H36" s="23">
        <f t="shared" si="3"/>
        <v>2.188745301828969E-2</v>
      </c>
      <c r="I36" s="2" cm="1">
        <f t="array" ref="I36">NSprice($L$4,$L$5,$L$6,$L$7,MOD(G36,0.5),(G36-MOD(G36,0.5))*2+1,B36/100,2)</f>
        <v>99.913798958429908</v>
      </c>
    </row>
    <row r="37" spans="1:9" ht="13.8">
      <c r="A37" s="25">
        <v>43982</v>
      </c>
      <c r="B37" s="26">
        <v>1.5</v>
      </c>
      <c r="C37" s="27">
        <v>99.25</v>
      </c>
      <c r="D37" s="28">
        <v>1.8320000000000001</v>
      </c>
      <c r="E37" s="4">
        <f t="shared" si="0"/>
        <v>0.5</v>
      </c>
      <c r="F37" s="4">
        <f t="shared" si="1"/>
        <v>99.75</v>
      </c>
      <c r="G37" s="4">
        <f t="shared" si="2"/>
        <v>0.66666666666666663</v>
      </c>
      <c r="H37" s="23">
        <f t="shared" si="3"/>
        <v>2.188745301828969E-2</v>
      </c>
      <c r="I37" s="2" cm="1">
        <f t="array" ref="I37">NSprice($L$4,$L$5,$L$6,$L$7,MOD(G37,0.5),(G37-MOD(G37,0.5))*2+1,B37/100,2)</f>
        <v>100.03765062146404</v>
      </c>
    </row>
    <row r="38" spans="1:9" ht="13.8">
      <c r="A38" s="25">
        <v>43982</v>
      </c>
      <c r="B38" s="26">
        <v>2.5</v>
      </c>
      <c r="C38" s="27">
        <v>100.136</v>
      </c>
      <c r="D38" s="28">
        <v>1.8440000000000001</v>
      </c>
      <c r="E38" s="4">
        <f t="shared" si="0"/>
        <v>0.83333333333333326</v>
      </c>
      <c r="F38" s="4">
        <f t="shared" si="1"/>
        <v>100.96933333333332</v>
      </c>
      <c r="G38" s="4">
        <f t="shared" si="2"/>
        <v>0.66666666666666663</v>
      </c>
      <c r="H38" s="23">
        <f t="shared" si="3"/>
        <v>2.188745301828969E-2</v>
      </c>
      <c r="I38" s="2" cm="1">
        <f t="array" ref="I38">NSprice($L$4,$L$5,$L$6,$L$7,MOD(G38,0.5),(G38-MOD(G38,0.5))*2+1,B38/100,2)</f>
        <v>101.02846392573706</v>
      </c>
    </row>
    <row r="39" spans="1:9" ht="13.8">
      <c r="A39" s="25">
        <v>43997</v>
      </c>
      <c r="B39" s="26">
        <v>1.5</v>
      </c>
      <c r="C39" s="27">
        <v>99.245999999999995</v>
      </c>
      <c r="D39" s="28">
        <v>1.8240000000000001</v>
      </c>
      <c r="E39" s="4">
        <f t="shared" si="0"/>
        <v>0.43852459016393441</v>
      </c>
      <c r="F39" s="4">
        <f t="shared" si="1"/>
        <v>99.684524590163932</v>
      </c>
      <c r="G39" s="4">
        <f t="shared" si="2"/>
        <v>0.70833333333333337</v>
      </c>
      <c r="H39" s="23">
        <f t="shared" si="3"/>
        <v>2.1775354959258208E-2</v>
      </c>
      <c r="I39" s="2" cm="1">
        <f t="array" ref="I39">NSprice($L$4,$L$5,$L$6,$L$7,MOD(G39,0.5),(G39-MOD(G39,0.5))*2+1,B39/100,2)</f>
        <v>99.954311898691756</v>
      </c>
    </row>
    <row r="40" spans="1:9" ht="13.8">
      <c r="A40" s="25">
        <v>44012</v>
      </c>
      <c r="B40" s="26">
        <v>1.625</v>
      </c>
      <c r="C40" s="27">
        <v>99.27</v>
      </c>
      <c r="D40" s="28">
        <v>1.835</v>
      </c>
      <c r="E40" s="4">
        <f t="shared" si="0"/>
        <v>0.40846994535519127</v>
      </c>
      <c r="F40" s="4">
        <f t="shared" si="1"/>
        <v>99.678469945355189</v>
      </c>
      <c r="G40" s="4">
        <f t="shared" si="2"/>
        <v>0.75</v>
      </c>
      <c r="H40" s="23">
        <f t="shared" si="3"/>
        <v>2.1664942509346263E-2</v>
      </c>
      <c r="I40" s="2" cm="1">
        <f t="array" ref="I40">NSprice($L$4,$L$5,$L$6,$L$7,MOD(G40,0.5),(G40-MOD(G40,0.5))*2+1,B40/100,2)</f>
        <v>99.995483919704171</v>
      </c>
    </row>
    <row r="41" spans="1:9" ht="13.8">
      <c r="A41" s="25">
        <v>44012</v>
      </c>
      <c r="B41" s="26">
        <v>1.875</v>
      </c>
      <c r="C41" s="27">
        <v>100.012</v>
      </c>
      <c r="D41" s="28">
        <v>1.821</v>
      </c>
      <c r="E41" s="4">
        <f t="shared" si="0"/>
        <v>0.47131147540983609</v>
      </c>
      <c r="F41" s="4">
        <f t="shared" si="1"/>
        <v>100.48331147540983</v>
      </c>
      <c r="G41" s="4">
        <f t="shared" si="2"/>
        <v>0.75</v>
      </c>
      <c r="H41" s="23">
        <f t="shared" si="3"/>
        <v>2.1664942509346263E-2</v>
      </c>
      <c r="I41" s="2" cm="1">
        <f t="array" ref="I41">NSprice($L$4,$L$5,$L$6,$L$7,MOD(G41,0.5),(G41-MOD(G41,0.5))*2+1,B41/100,2)</f>
        <v>100.2427492727026</v>
      </c>
    </row>
    <row r="42" spans="1:9" ht="13.8">
      <c r="A42" s="25">
        <v>44012</v>
      </c>
      <c r="B42" s="26">
        <v>2.5</v>
      </c>
      <c r="C42" s="27">
        <v>100.15600000000001</v>
      </c>
      <c r="D42" s="28">
        <v>1.8320000000000001</v>
      </c>
      <c r="E42" s="4">
        <f t="shared" si="0"/>
        <v>0.62841530054644812</v>
      </c>
      <c r="F42" s="4">
        <f t="shared" si="1"/>
        <v>100.78441530054646</v>
      </c>
      <c r="G42" s="4">
        <f t="shared" si="2"/>
        <v>0.75</v>
      </c>
      <c r="H42" s="23">
        <f t="shared" si="3"/>
        <v>2.1664942509346263E-2</v>
      </c>
      <c r="I42" s="2" cm="1">
        <f t="array" ref="I42">NSprice($L$4,$L$5,$L$6,$L$7,MOD(G42,0.5),(G42-MOD(G42,0.5))*2+1,B42/100,2)</f>
        <v>100.86091265519866</v>
      </c>
    </row>
    <row r="43" spans="1:9" ht="13.8">
      <c r="A43" s="25">
        <v>44027</v>
      </c>
      <c r="B43" s="26">
        <v>1.5</v>
      </c>
      <c r="C43" s="27">
        <v>99.24</v>
      </c>
      <c r="D43" s="28">
        <v>1.82</v>
      </c>
      <c r="E43" s="4">
        <f t="shared" si="0"/>
        <v>0.31385869565217395</v>
      </c>
      <c r="F43" s="4">
        <f t="shared" si="1"/>
        <v>99.553858695652167</v>
      </c>
      <c r="G43" s="4">
        <f t="shared" si="2"/>
        <v>0.79166666666666663</v>
      </c>
      <c r="H43" s="23">
        <f t="shared" si="3"/>
        <v>2.1556195797578614E-2</v>
      </c>
      <c r="I43" s="2" cm="1">
        <f t="array" ref="I43">NSprice($L$4,$L$5,$L$6,$L$7,MOD(G43,0.5),(G43-MOD(G43,0.5))*2+1,B43/100,2)</f>
        <v>99.790247108414633</v>
      </c>
    </row>
    <row r="44" spans="1:9" ht="13.8">
      <c r="A44" s="25">
        <v>44043</v>
      </c>
      <c r="B44" s="26">
        <v>1.625</v>
      </c>
      <c r="C44" s="27">
        <v>99.263999999999996</v>
      </c>
      <c r="D44" s="28">
        <v>1.833</v>
      </c>
      <c r="E44" s="4">
        <f t="shared" si="0"/>
        <v>0.26936141304347822</v>
      </c>
      <c r="F44" s="4">
        <f t="shared" si="1"/>
        <v>99.53336141304348</v>
      </c>
      <c r="G44" s="4">
        <f t="shared" si="2"/>
        <v>0.83333333333333337</v>
      </c>
      <c r="H44" s="23">
        <f t="shared" si="3"/>
        <v>2.1449095171517649E-2</v>
      </c>
      <c r="I44" s="2" cm="1">
        <f t="array" ref="I44">NSprice($L$4,$L$5,$L$6,$L$7,MOD(G44,0.5),(G44-MOD(G44,0.5))*2+1,B44/100,2)</f>
        <v>99.832896951577084</v>
      </c>
    </row>
    <row r="45" spans="1:9" ht="13.8">
      <c r="A45" s="25">
        <v>44043</v>
      </c>
      <c r="B45" s="26">
        <v>2</v>
      </c>
      <c r="C45" s="27">
        <v>100.042</v>
      </c>
      <c r="D45" s="28">
        <v>1.837</v>
      </c>
      <c r="E45" s="4">
        <f t="shared" si="0"/>
        <v>0.33152173913043476</v>
      </c>
      <c r="F45" s="4">
        <f t="shared" si="1"/>
        <v>100.37352173913044</v>
      </c>
      <c r="G45" s="4">
        <f t="shared" si="2"/>
        <v>0.83333333333333337</v>
      </c>
      <c r="H45" s="23">
        <f t="shared" si="3"/>
        <v>2.1449095171517649E-2</v>
      </c>
      <c r="I45" s="2" cm="1">
        <f t="array" ref="I45">NSprice($L$4,$L$5,$L$6,$L$7,MOD(G45,0.5),(G45-MOD(G45,0.5))*2+1,B45/100,2)</f>
        <v>100.20315276748597</v>
      </c>
    </row>
    <row r="46" spans="1:9" ht="13.8">
      <c r="A46" s="25">
        <v>44043</v>
      </c>
      <c r="B46" s="26">
        <v>2.625</v>
      </c>
      <c r="C46" s="27">
        <v>100.206</v>
      </c>
      <c r="D46" s="28">
        <v>1.8340000000000001</v>
      </c>
      <c r="E46" s="4">
        <f t="shared" si="0"/>
        <v>0.43512228260869562</v>
      </c>
      <c r="F46" s="4">
        <f t="shared" si="1"/>
        <v>100.64112228260871</v>
      </c>
      <c r="G46" s="4">
        <f t="shared" si="2"/>
        <v>0.83333333333333337</v>
      </c>
      <c r="H46" s="23">
        <f t="shared" si="3"/>
        <v>2.1449095171517649E-2</v>
      </c>
      <c r="I46" s="2" cm="1">
        <f t="array" ref="I46">NSprice($L$4,$L$5,$L$6,$L$7,MOD(G46,0.5),(G46-MOD(G46,0.5))*2+1,B46/100,2)</f>
        <v>100.82024579400081</v>
      </c>
    </row>
    <row r="47" spans="1:9" ht="13.8">
      <c r="A47" s="25">
        <v>44058</v>
      </c>
      <c r="B47" s="26">
        <v>1.5</v>
      </c>
      <c r="C47" s="27">
        <v>99.231999999999999</v>
      </c>
      <c r="D47" s="28">
        <v>1.8169999999999999</v>
      </c>
      <c r="E47" s="4">
        <f t="shared" si="0"/>
        <v>0.1875</v>
      </c>
      <c r="F47" s="4">
        <f t="shared" si="1"/>
        <v>99.419499999999999</v>
      </c>
      <c r="G47" s="4">
        <f t="shared" si="2"/>
        <v>0.875</v>
      </c>
      <c r="H47" s="23">
        <f t="shared" si="3"/>
        <v>2.1343621194930364E-2</v>
      </c>
      <c r="I47" s="2" cm="1">
        <f t="array" ref="I47">NSprice($L$4,$L$5,$L$6,$L$7,MOD(G47,0.5),(G47-MOD(G47,0.5))*2+1,B47/100,2)</f>
        <v>99.62952419995635</v>
      </c>
    </row>
    <row r="48" spans="1:9" ht="13.8">
      <c r="A48" s="25">
        <v>44058</v>
      </c>
      <c r="B48" s="26">
        <v>2.625</v>
      </c>
      <c r="C48" s="27">
        <v>100.214</v>
      </c>
      <c r="D48" s="28">
        <v>1.8440000000000001</v>
      </c>
      <c r="E48" s="4">
        <f t="shared" si="0"/>
        <v>0.328125</v>
      </c>
      <c r="F48" s="4">
        <f t="shared" si="1"/>
        <v>100.542125</v>
      </c>
      <c r="G48" s="4">
        <f t="shared" si="2"/>
        <v>0.875</v>
      </c>
      <c r="H48" s="23">
        <f t="shared" si="3"/>
        <v>2.1343621194930364E-2</v>
      </c>
      <c r="I48" s="2" cm="1">
        <f t="array" ref="I48">NSprice($L$4,$L$5,$L$6,$L$7,MOD(G48,0.5),(G48-MOD(G48,0.5))*2+1,B48/100,2)</f>
        <v>100.73934426115582</v>
      </c>
    </row>
    <row r="49" spans="1:9" ht="13.8">
      <c r="A49" s="25">
        <v>44058</v>
      </c>
      <c r="B49" s="26">
        <v>8.75</v>
      </c>
      <c r="C49" s="27">
        <v>105.286</v>
      </c>
      <c r="D49" s="28">
        <v>1.895</v>
      </c>
      <c r="E49" s="4">
        <f t="shared" si="0"/>
        <v>1.09375</v>
      </c>
      <c r="F49" s="4">
        <f t="shared" si="1"/>
        <v>106.37975</v>
      </c>
      <c r="G49" s="4">
        <f t="shared" si="2"/>
        <v>0.875</v>
      </c>
      <c r="H49" s="23">
        <f t="shared" si="3"/>
        <v>2.1343621194930364E-2</v>
      </c>
      <c r="I49" s="2" cm="1">
        <f t="array" ref="I49">NSprice($L$4,$L$5,$L$6,$L$7,MOD(G49,0.5),(G49-MOD(G49,0.5))*2+1,B49/100,2)</f>
        <v>106.78169792768624</v>
      </c>
    </row>
    <row r="50" spans="1:9" ht="13.8">
      <c r="A50" s="25">
        <v>44074</v>
      </c>
      <c r="B50" s="26">
        <v>1.375</v>
      </c>
      <c r="C50" s="27">
        <v>99.19</v>
      </c>
      <c r="D50" s="28">
        <v>1.8240000000000001</v>
      </c>
      <c r="E50" s="4">
        <f t="shared" si="0"/>
        <v>0.11332417582417582</v>
      </c>
      <c r="F50" s="4">
        <f t="shared" si="1"/>
        <v>99.303324175824173</v>
      </c>
      <c r="G50" s="4">
        <f t="shared" si="2"/>
        <v>0.91666666666666663</v>
      </c>
      <c r="H50" s="23">
        <f t="shared" si="3"/>
        <v>2.1239754645479857E-2</v>
      </c>
      <c r="I50" s="2" cm="1">
        <f t="array" ref="I50">NSprice($L$4,$L$5,$L$6,$L$7,MOD(G50,0.5),(G50-MOD(G50,0.5))*2+1,B50/100,2)</f>
        <v>99.42715507920542</v>
      </c>
    </row>
    <row r="51" spans="1:9" ht="13.8">
      <c r="A51" s="25">
        <v>44074</v>
      </c>
      <c r="B51" s="26">
        <v>2.125</v>
      </c>
      <c r="C51" s="27">
        <v>100.084</v>
      </c>
      <c r="D51" s="28">
        <v>1.83</v>
      </c>
      <c r="E51" s="4">
        <f t="shared" si="0"/>
        <v>0.17513736263736263</v>
      </c>
      <c r="F51" s="4">
        <f t="shared" si="1"/>
        <v>100.25913736263736</v>
      </c>
      <c r="G51" s="4">
        <f t="shared" si="2"/>
        <v>0.91666666666666663</v>
      </c>
      <c r="H51" s="23">
        <f t="shared" si="3"/>
        <v>2.1239754645479857E-2</v>
      </c>
      <c r="I51" s="2" cm="1">
        <f t="array" ref="I51">NSprice($L$4,$L$5,$L$6,$L$7,MOD(G51,0.5),(G51-MOD(G51,0.5))*2+1,B51/100,2)</f>
        <v>100.16641038412327</v>
      </c>
    </row>
    <row r="52" spans="1:9" ht="13.8">
      <c r="A52" s="25">
        <v>44074</v>
      </c>
      <c r="B52" s="26">
        <v>2.625</v>
      </c>
      <c r="C52" s="27">
        <v>100.23399999999999</v>
      </c>
      <c r="D52" s="28">
        <v>1.8109999999999999</v>
      </c>
      <c r="E52" s="4">
        <f t="shared" si="0"/>
        <v>0.21634615384615385</v>
      </c>
      <c r="F52" s="4">
        <f t="shared" si="1"/>
        <v>100.45034615384616</v>
      </c>
      <c r="G52" s="4">
        <f t="shared" si="2"/>
        <v>0.91666666666666663</v>
      </c>
      <c r="H52" s="23">
        <f t="shared" si="3"/>
        <v>2.1239754645479857E-2</v>
      </c>
      <c r="I52" s="2" cm="1">
        <f t="array" ref="I52">NSprice($L$4,$L$5,$L$6,$L$7,MOD(G52,0.5),(G52-MOD(G52,0.5))*2+1,B52/100,2)</f>
        <v>100.6592472540685</v>
      </c>
    </row>
    <row r="53" spans="1:9" ht="13.8">
      <c r="A53" s="25">
        <v>44089</v>
      </c>
      <c r="B53" s="26">
        <v>1.375</v>
      </c>
      <c r="C53" s="27">
        <v>99.21</v>
      </c>
      <c r="D53" s="28">
        <v>1.7390000000000001</v>
      </c>
      <c r="E53" s="4">
        <f t="shared" si="0"/>
        <v>5.6662087912087912E-2</v>
      </c>
      <c r="F53" s="4">
        <f t="shared" si="1"/>
        <v>99.266662087912081</v>
      </c>
      <c r="G53" s="4">
        <f t="shared" si="2"/>
        <v>0.95833333333333337</v>
      </c>
      <c r="H53" s="23">
        <f t="shared" si="3"/>
        <v>2.1137476512441217E-2</v>
      </c>
      <c r="I53" s="2" cm="1">
        <f t="array" ref="I53">NSprice($L$4,$L$5,$L$6,$L$7,MOD(G53,0.5),(G53-MOD(G53,0.5))*2+1,B53/100,2)</f>
        <v>99.348872431066894</v>
      </c>
    </row>
    <row r="54" spans="1:9" ht="13.8">
      <c r="A54" s="25">
        <v>44104</v>
      </c>
      <c r="B54" s="26">
        <v>1.375</v>
      </c>
      <c r="C54" s="27">
        <v>99.191999999999993</v>
      </c>
      <c r="D54" s="28">
        <v>1.78</v>
      </c>
      <c r="E54" s="4">
        <f t="shared" si="0"/>
        <v>0</v>
      </c>
      <c r="F54" s="4">
        <f t="shared" si="1"/>
        <v>99.191999999999993</v>
      </c>
      <c r="G54" s="4">
        <f t="shared" si="2"/>
        <v>1</v>
      </c>
      <c r="H54" s="23">
        <f t="shared" si="3"/>
        <v>2.1036767994441184E-2</v>
      </c>
      <c r="I54" s="2" cm="1">
        <f t="array" ref="I54">NSprice($L$4,$L$5,$L$6,$L$7,MOD(G54,0.5),(G54-MOD(G54,0.5))*2+1,B54/100,2)</f>
        <v>99.958843317040774</v>
      </c>
    </row>
    <row r="55" spans="1:9" ht="13.8">
      <c r="A55" s="25">
        <v>44104</v>
      </c>
      <c r="B55" s="26">
        <v>2</v>
      </c>
      <c r="C55" s="27">
        <v>100.066</v>
      </c>
      <c r="D55" s="28">
        <v>1.786</v>
      </c>
      <c r="E55" s="4">
        <f t="shared" si="0"/>
        <v>0</v>
      </c>
      <c r="F55" s="4">
        <f t="shared" si="1"/>
        <v>100.066</v>
      </c>
      <c r="G55" s="4">
        <f t="shared" si="2"/>
        <v>1</v>
      </c>
      <c r="H55" s="23">
        <f t="shared" si="3"/>
        <v>2.1036767994441184E-2</v>
      </c>
      <c r="I55" s="2" cm="1">
        <f t="array" ref="I55">NSprice($L$4,$L$5,$L$6,$L$7,MOD(G55,0.5),(G55-MOD(G55,0.5))*2+1,B55/100,2)</f>
        <v>100.88636476506379</v>
      </c>
    </row>
    <row r="56" spans="1:9" ht="13.8">
      <c r="A56" s="25">
        <v>44104</v>
      </c>
      <c r="B56" s="26">
        <v>2.75</v>
      </c>
      <c r="C56" s="27">
        <v>100.30200000000001</v>
      </c>
      <c r="D56" s="28">
        <v>1.7889999999999999</v>
      </c>
      <c r="E56" s="4">
        <f t="shared" si="0"/>
        <v>0</v>
      </c>
      <c r="F56" s="4">
        <f t="shared" si="1"/>
        <v>100.30200000000001</v>
      </c>
      <c r="G56" s="4">
        <f t="shared" si="2"/>
        <v>1</v>
      </c>
      <c r="H56" s="23">
        <f t="shared" si="3"/>
        <v>2.1036767994441184E-2</v>
      </c>
      <c r="I56" s="2" cm="1">
        <f t="array" ref="I56">NSprice($L$4,$L$5,$L$6,$L$7,MOD(G56,0.5),(G56-MOD(G56,0.5))*2+1,B56/100,2)</f>
        <v>101.9993905026914</v>
      </c>
    </row>
    <row r="57" spans="1:9" ht="13.8">
      <c r="A57" s="25">
        <v>44119</v>
      </c>
      <c r="B57" s="26">
        <v>1.625</v>
      </c>
      <c r="C57" s="27">
        <v>99.266000000000005</v>
      </c>
      <c r="D57" s="28">
        <v>1.7849999999999999</v>
      </c>
      <c r="E57" s="4">
        <f t="shared" si="0"/>
        <v>0.74590163934426235</v>
      </c>
      <c r="F57" s="4">
        <f t="shared" si="1"/>
        <v>100.01190163934427</v>
      </c>
      <c r="G57" s="4">
        <f t="shared" si="2"/>
        <v>1.0416666666666667</v>
      </c>
      <c r="H57" s="23">
        <f t="shared" si="3"/>
        <v>2.0937610497221829E-2</v>
      </c>
      <c r="I57" s="2" cm="1">
        <f t="array" ref="I57">NSprice($L$4,$L$5,$L$6,$L$7,MOD(G57,0.5),(G57-MOD(G57,0.5))*2+1,B57/100,2)</f>
        <v>100.25205052665801</v>
      </c>
    </row>
    <row r="58" spans="1:9" ht="13.8">
      <c r="A58" s="25">
        <v>44135</v>
      </c>
      <c r="B58" s="26">
        <v>1.375</v>
      </c>
      <c r="C58" s="27">
        <v>99.182000000000002</v>
      </c>
      <c r="D58" s="28">
        <v>1.778</v>
      </c>
      <c r="E58" s="4">
        <f t="shared" si="0"/>
        <v>0.57479508196721318</v>
      </c>
      <c r="F58" s="4">
        <f t="shared" si="1"/>
        <v>99.756795081967212</v>
      </c>
      <c r="G58" s="4">
        <f t="shared" si="2"/>
        <v>1.0833333333333333</v>
      </c>
      <c r="H58" s="23">
        <f t="shared" si="3"/>
        <v>2.0839985631427582E-2</v>
      </c>
      <c r="I58" s="2" cm="1">
        <f t="array" ref="I58">NSprice($L$4,$L$5,$L$6,$L$7,MOD(G58,0.5),(G58-MOD(G58,0.5))*2+1,B58/100,2)</f>
        <v>99.804615750895522</v>
      </c>
    </row>
    <row r="59" spans="1:9" ht="13.8">
      <c r="A59" s="25">
        <v>44135</v>
      </c>
      <c r="B59" s="26">
        <v>1.75</v>
      </c>
      <c r="C59" s="27">
        <v>99.31</v>
      </c>
      <c r="D59" s="28">
        <v>1.7789999999999999</v>
      </c>
      <c r="E59" s="4">
        <f t="shared" si="0"/>
        <v>0.73155737704918034</v>
      </c>
      <c r="F59" s="4">
        <f t="shared" si="1"/>
        <v>100.04155737704919</v>
      </c>
      <c r="G59" s="4">
        <f t="shared" si="2"/>
        <v>1.0833333333333333</v>
      </c>
      <c r="H59" s="23">
        <f t="shared" si="3"/>
        <v>2.0839985631427582E-2</v>
      </c>
      <c r="I59" s="2" cm="1">
        <f t="array" ref="I59">NSprice($L$4,$L$5,$L$6,$L$7,MOD(G59,0.5),(G59-MOD(G59,0.5))*2+1,B59/100,2)</f>
        <v>100.36015747322037</v>
      </c>
    </row>
    <row r="60" spans="1:9" ht="13.8">
      <c r="A60" s="25">
        <v>44135</v>
      </c>
      <c r="B60" s="26">
        <v>2.875</v>
      </c>
      <c r="C60" s="27">
        <v>101.05</v>
      </c>
      <c r="D60" s="28">
        <v>1.79</v>
      </c>
      <c r="E60" s="4">
        <f t="shared" si="0"/>
        <v>1.201844262295082</v>
      </c>
      <c r="F60" s="4">
        <f t="shared" si="1"/>
        <v>102.25184426229508</v>
      </c>
      <c r="G60" s="4">
        <f t="shared" si="2"/>
        <v>1.0833333333333333</v>
      </c>
      <c r="H60" s="23">
        <f t="shared" si="3"/>
        <v>2.0839985631427582E-2</v>
      </c>
      <c r="I60" s="2" cm="1">
        <f t="array" ref="I60">NSprice($L$4,$L$5,$L$6,$L$7,MOD(G60,0.5),(G60-MOD(G60,0.5))*2+1,B60/100,2)</f>
        <v>102.02678264019494</v>
      </c>
    </row>
    <row r="61" spans="1:9" ht="13.8">
      <c r="A61" s="25">
        <v>44150</v>
      </c>
      <c r="B61" s="26">
        <v>1.75</v>
      </c>
      <c r="C61" s="27">
        <v>99.31</v>
      </c>
      <c r="D61" s="28">
        <v>1.778</v>
      </c>
      <c r="E61" s="4">
        <f t="shared" si="0"/>
        <v>0.65625</v>
      </c>
      <c r="F61" s="4">
        <f t="shared" si="1"/>
        <v>99.966250000000002</v>
      </c>
      <c r="G61" s="4">
        <f t="shared" si="2"/>
        <v>1.125</v>
      </c>
      <c r="H61" s="23">
        <f t="shared" si="3"/>
        <v>2.0743875210415562E-2</v>
      </c>
      <c r="I61" s="2" cm="1">
        <f t="array" ref="I61">NSprice($L$4,$L$5,$L$6,$L$7,MOD(G61,0.5),(G61-MOD(G61,0.5))*2+1,B61/100,2)</f>
        <v>100.28363360921711</v>
      </c>
    </row>
    <row r="62" spans="1:9" ht="13.8">
      <c r="A62" s="25">
        <v>44150</v>
      </c>
      <c r="B62" s="26">
        <v>2.625</v>
      </c>
      <c r="C62" s="27">
        <v>100.29600000000001</v>
      </c>
      <c r="D62" s="28">
        <v>1.784</v>
      </c>
      <c r="E62" s="4">
        <f t="shared" si="0"/>
        <v>0.984375</v>
      </c>
      <c r="F62" s="4">
        <f t="shared" si="1"/>
        <v>101.28037500000001</v>
      </c>
      <c r="G62" s="4">
        <f t="shared" si="2"/>
        <v>1.125</v>
      </c>
      <c r="H62" s="23">
        <f t="shared" si="3"/>
        <v>2.0743875210415562E-2</v>
      </c>
      <c r="I62" s="2" cm="1">
        <f t="array" ref="I62">NSprice($L$4,$L$5,$L$6,$L$7,MOD(G62,0.5),(G62-MOD(G62,0.5))*2+1,B62/100,2)</f>
        <v>101.57878346615777</v>
      </c>
    </row>
    <row r="63" spans="1:9" ht="13.8">
      <c r="A63" s="25">
        <v>44165</v>
      </c>
      <c r="B63" s="26">
        <v>1.625</v>
      </c>
      <c r="C63" s="27">
        <v>99.266000000000005</v>
      </c>
      <c r="D63" s="28">
        <v>1.7669999999999999</v>
      </c>
      <c r="E63" s="4">
        <f t="shared" si="0"/>
        <v>0.54166666666666663</v>
      </c>
      <c r="F63" s="4">
        <f t="shared" si="1"/>
        <v>99.807666666666677</v>
      </c>
      <c r="G63" s="4">
        <f t="shared" si="2"/>
        <v>1.1666666666666667</v>
      </c>
      <c r="H63" s="23">
        <f t="shared" si="3"/>
        <v>2.064926124808902E-2</v>
      </c>
      <c r="I63" s="2" cm="1">
        <f t="array" ref="I63">NSprice($L$4,$L$5,$L$6,$L$7,MOD(G63,0.5),(G63-MOD(G63,0.5))*2+1,B63/100,2)</f>
        <v>100.0229379690617</v>
      </c>
    </row>
    <row r="64" spans="1:9" ht="13.8">
      <c r="A64" s="25">
        <v>44165</v>
      </c>
      <c r="B64" s="26">
        <v>2</v>
      </c>
      <c r="C64" s="27">
        <v>100.08199999999999</v>
      </c>
      <c r="D64" s="28">
        <v>1.774</v>
      </c>
      <c r="E64" s="4">
        <f t="shared" si="0"/>
        <v>0.66666666666666663</v>
      </c>
      <c r="F64" s="4">
        <f t="shared" si="1"/>
        <v>100.74866666666667</v>
      </c>
      <c r="G64" s="4">
        <f t="shared" si="2"/>
        <v>1.1666666666666667</v>
      </c>
      <c r="H64" s="23">
        <f t="shared" si="3"/>
        <v>2.064926124808902E-2</v>
      </c>
      <c r="I64" s="2" cm="1">
        <f t="array" ref="I64">NSprice($L$4,$L$5,$L$6,$L$7,MOD(G64,0.5),(G64-MOD(G64,0.5))*2+1,B64/100,2)</f>
        <v>100.57752990735742</v>
      </c>
    </row>
    <row r="65" spans="1:9" ht="13.8">
      <c r="A65" s="25">
        <v>44165</v>
      </c>
      <c r="B65" s="26">
        <v>2.75</v>
      </c>
      <c r="C65" s="27">
        <v>101.03400000000001</v>
      </c>
      <c r="D65" s="28">
        <v>1.782</v>
      </c>
      <c r="E65" s="4">
        <f t="shared" si="0"/>
        <v>0.91666666666666663</v>
      </c>
      <c r="F65" s="4">
        <f t="shared" si="1"/>
        <v>101.95066666666668</v>
      </c>
      <c r="G65" s="4">
        <f t="shared" si="2"/>
        <v>1.1666666666666667</v>
      </c>
      <c r="H65" s="23">
        <f t="shared" si="3"/>
        <v>2.064926124808902E-2</v>
      </c>
      <c r="I65" s="2" cm="1">
        <f t="array" ref="I65">NSprice($L$4,$L$5,$L$6,$L$7,MOD(G65,0.5),(G65-MOD(G65,0.5))*2+1,B65/100,2)</f>
        <v>101.68671378394886</v>
      </c>
    </row>
    <row r="66" spans="1:9" ht="13.8">
      <c r="A66" s="25">
        <v>44180</v>
      </c>
      <c r="B66" s="26">
        <v>1.875</v>
      </c>
      <c r="C66" s="27">
        <v>100.04</v>
      </c>
      <c r="D66" s="28">
        <v>1.7689999999999999</v>
      </c>
      <c r="E66" s="4">
        <f t="shared" si="0"/>
        <v>0.54815573770491799</v>
      </c>
      <c r="F66" s="4">
        <f t="shared" si="1"/>
        <v>100.58815573770492</v>
      </c>
      <c r="G66" s="4">
        <f t="shared" si="2"/>
        <v>1.2083333333333333</v>
      </c>
      <c r="H66" s="23">
        <f t="shared" si="3"/>
        <v>2.0556125956753518E-2</v>
      </c>
      <c r="I66" s="2" cm="1">
        <f t="array" ref="I66">NSprice($L$4,$L$5,$L$6,$L$7,MOD(G66,0.5),(G66-MOD(G66,0.5))*2+1,B66/100,2)</f>
        <v>100.31735257444032</v>
      </c>
    </row>
    <row r="67" spans="1:9" ht="13.8">
      <c r="A67" s="25">
        <v>44196</v>
      </c>
      <c r="B67" s="26">
        <v>1.75</v>
      </c>
      <c r="C67" s="27">
        <v>99.304000000000002</v>
      </c>
      <c r="D67" s="28">
        <v>1.7869999999999999</v>
      </c>
      <c r="E67" s="4">
        <f t="shared" si="0"/>
        <v>0.43989071038251365</v>
      </c>
      <c r="F67" s="4">
        <f t="shared" si="1"/>
        <v>99.743890710382516</v>
      </c>
      <c r="G67" s="4">
        <f t="shared" si="2"/>
        <v>1.25</v>
      </c>
      <c r="H67" s="23">
        <f t="shared" si="3"/>
        <v>2.0464451744995529E-2</v>
      </c>
      <c r="I67" s="2" cm="1">
        <f t="array" ref="I67">NSprice($L$4,$L$5,$L$6,$L$7,MOD(G67,0.5),(G67-MOD(G67,0.5))*2+1,B67/100,2)</f>
        <v>100.05814292363456</v>
      </c>
    </row>
    <row r="68" spans="1:9" ht="13.8">
      <c r="A68" s="25">
        <v>44196</v>
      </c>
      <c r="B68" s="26">
        <v>2.375</v>
      </c>
      <c r="C68" s="27">
        <v>100.24</v>
      </c>
      <c r="D68" s="28">
        <v>1.7629999999999999</v>
      </c>
      <c r="E68" s="4">
        <f t="shared" si="0"/>
        <v>0.59699453551912574</v>
      </c>
      <c r="F68" s="4">
        <f t="shared" si="1"/>
        <v>100.83699453551912</v>
      </c>
      <c r="G68" s="4">
        <f t="shared" si="2"/>
        <v>1.25</v>
      </c>
      <c r="H68" s="23">
        <f t="shared" si="3"/>
        <v>2.0464451744995529E-2</v>
      </c>
      <c r="I68" s="2" cm="1">
        <f t="array" ref="I68">NSprice($L$4,$L$5,$L$6,$L$7,MOD(G68,0.5),(G68-MOD(G68,0.5))*2+1,B68/100,2)</f>
        <v>100.98091375796659</v>
      </c>
    </row>
    <row r="69" spans="1:9" ht="13.8">
      <c r="A69" s="25">
        <v>44196</v>
      </c>
      <c r="B69" s="26">
        <v>2.5</v>
      </c>
      <c r="C69" s="27">
        <v>100.286</v>
      </c>
      <c r="D69" s="28">
        <v>1.7669999999999999</v>
      </c>
      <c r="E69" s="4">
        <f t="shared" ref="E69:E132" si="4">COUPDAYBS($B$2,A69,2,1)/COUPDAYS($B$2,A69,2,1)*(B69/2)</f>
        <v>0.62841530054644812</v>
      </c>
      <c r="F69" s="4">
        <f t="shared" ref="F69:F132" si="5">E69+C69</f>
        <v>100.91441530054645</v>
      </c>
      <c r="G69" s="4">
        <f t="shared" ref="G69:G132" si="6">YEARFRAC($B$2,A69,)</f>
        <v>1.25</v>
      </c>
      <c r="H69" s="23">
        <f t="shared" ref="H69:H132" si="7">$L$4+($L$5+$L$6)*$L$7*(1-EXP(-G69/$L$7))/G69-$L$6*EXP(-G69/$L$7)</f>
        <v>2.0464451744995529E-2</v>
      </c>
      <c r="I69" s="2" cm="1">
        <f t="array" ref="I69">NSprice($L$4,$L$5,$L$6,$L$7,MOD(G69,0.5),(G69-MOD(G69,0.5))*2+1,B69/100,2)</f>
        <v>101.16546792483298</v>
      </c>
    </row>
    <row r="70" spans="1:9" ht="13.8">
      <c r="A70" s="25">
        <v>44211</v>
      </c>
      <c r="B70" s="26">
        <v>2</v>
      </c>
      <c r="C70" s="27">
        <v>100.096</v>
      </c>
      <c r="D70" s="28">
        <v>1.7589999999999999</v>
      </c>
      <c r="E70" s="4">
        <f t="shared" si="4"/>
        <v>0.41847826086956524</v>
      </c>
      <c r="F70" s="4">
        <f t="shared" si="5"/>
        <v>100.51447826086957</v>
      </c>
      <c r="G70" s="4">
        <f t="shared" si="6"/>
        <v>1.2916666666666667</v>
      </c>
      <c r="H70" s="23">
        <f t="shared" si="7"/>
        <v>2.0374221215583636E-2</v>
      </c>
      <c r="I70" s="2" cm="1">
        <f t="array" ref="I70">NSprice($L$4,$L$5,$L$6,$L$7,MOD(G70,0.5),(G70-MOD(G70,0.5))*2+1,B70/100,2)</f>
        <v>100.35308364335883</v>
      </c>
    </row>
    <row r="71" spans="1:9" ht="13.8">
      <c r="A71" s="25">
        <v>44227</v>
      </c>
      <c r="B71" s="26">
        <v>1.375</v>
      </c>
      <c r="C71" s="27">
        <v>99.16</v>
      </c>
      <c r="D71" s="28">
        <v>1.756</v>
      </c>
      <c r="E71" s="4">
        <f t="shared" si="4"/>
        <v>0.22792119565217389</v>
      </c>
      <c r="F71" s="4">
        <f t="shared" si="5"/>
        <v>99.387921195652169</v>
      </c>
      <c r="G71" s="4">
        <f t="shared" si="6"/>
        <v>1.3333333333333333</v>
      </c>
      <c r="H71" s="23">
        <f t="shared" si="7"/>
        <v>2.0285417163391547E-2</v>
      </c>
      <c r="I71" s="2" cm="1">
        <f t="array" ref="I71">NSprice($L$4,$L$5,$L$6,$L$7,MOD(G71,0.5),(G71-MOD(G71,0.5))*2+1,B71/100,2)</f>
        <v>99.358286680151565</v>
      </c>
    </row>
    <row r="72" spans="1:9" ht="13.8">
      <c r="A72" s="25">
        <v>44227</v>
      </c>
      <c r="B72" s="26">
        <v>2.125</v>
      </c>
      <c r="C72" s="27">
        <v>100.154</v>
      </c>
      <c r="D72" s="28">
        <v>1.7549999999999999</v>
      </c>
      <c r="E72" s="4">
        <f t="shared" si="4"/>
        <v>0.35224184782608692</v>
      </c>
      <c r="F72" s="4">
        <f t="shared" si="5"/>
        <v>100.50624184782609</v>
      </c>
      <c r="G72" s="4">
        <f t="shared" si="6"/>
        <v>1.3333333333333333</v>
      </c>
      <c r="H72" s="23">
        <f t="shared" si="7"/>
        <v>2.0285417163391547E-2</v>
      </c>
      <c r="I72" s="2" cm="1">
        <f t="array" ref="I72">NSprice($L$4,$L$5,$L$6,$L$7,MOD(G72,0.5),(G72-MOD(G72,0.5))*2+1,B72/100,2)</f>
        <v>100.4637915411009</v>
      </c>
    </row>
    <row r="73" spans="1:9" ht="13.8">
      <c r="A73" s="25">
        <v>44227</v>
      </c>
      <c r="B73" s="26">
        <v>2.5</v>
      </c>
      <c r="C73" s="27">
        <v>100.312</v>
      </c>
      <c r="D73" s="28">
        <v>1.754</v>
      </c>
      <c r="E73" s="4">
        <f t="shared" si="4"/>
        <v>0.41440217391304346</v>
      </c>
      <c r="F73" s="4">
        <f t="shared" si="5"/>
        <v>100.72640217391304</v>
      </c>
      <c r="G73" s="4">
        <f t="shared" si="6"/>
        <v>1.3333333333333333</v>
      </c>
      <c r="H73" s="23">
        <f t="shared" si="7"/>
        <v>2.0285417163391547E-2</v>
      </c>
      <c r="I73" s="2" cm="1">
        <f t="array" ref="I73">NSprice($L$4,$L$5,$L$6,$L$7,MOD(G73,0.5),(G73-MOD(G73,0.5))*2+1,B73/100,2)</f>
        <v>101.01654397157557</v>
      </c>
    </row>
    <row r="74" spans="1:9" ht="13.8">
      <c r="A74" s="25">
        <v>44242</v>
      </c>
      <c r="B74" s="26">
        <v>2.25</v>
      </c>
      <c r="C74" s="27">
        <v>100.22</v>
      </c>
      <c r="D74" s="28">
        <v>1.74</v>
      </c>
      <c r="E74" s="4">
        <f t="shared" si="4"/>
        <v>0.28125</v>
      </c>
      <c r="F74" s="4">
        <f t="shared" si="5"/>
        <v>100.50125</v>
      </c>
      <c r="G74" s="4">
        <f t="shared" si="6"/>
        <v>1.375</v>
      </c>
      <c r="H74" s="23">
        <f t="shared" si="7"/>
        <v>2.0198022573343122E-2</v>
      </c>
      <c r="I74" s="2" cm="1">
        <f t="array" ref="I74">NSprice($L$4,$L$5,$L$6,$L$7,MOD(G74,0.5),(G74-MOD(G74,0.5))*2+1,B74/100,2)</f>
        <v>100.57480850203608</v>
      </c>
    </row>
    <row r="75" spans="1:9" ht="13.8">
      <c r="A75" s="25">
        <v>44242</v>
      </c>
      <c r="B75" s="26">
        <v>3.625</v>
      </c>
      <c r="C75" s="27">
        <v>102.176</v>
      </c>
      <c r="D75" s="28">
        <v>1.732</v>
      </c>
      <c r="E75" s="4">
        <f t="shared" si="4"/>
        <v>0.453125</v>
      </c>
      <c r="F75" s="4">
        <f t="shared" si="5"/>
        <v>102.629125</v>
      </c>
      <c r="G75" s="4">
        <f t="shared" si="6"/>
        <v>1.375</v>
      </c>
      <c r="H75" s="23">
        <f t="shared" si="7"/>
        <v>2.0198022573343122E-2</v>
      </c>
      <c r="I75" s="2" cm="1">
        <f t="array" ref="I75">NSprice($L$4,$L$5,$L$6,$L$7,MOD(G75,0.5),(G75-MOD(G75,0.5))*2+1,B75/100,2)</f>
        <v>102.59992449701012</v>
      </c>
    </row>
    <row r="76" spans="1:9" ht="13.8">
      <c r="A76" s="25">
        <v>44242</v>
      </c>
      <c r="B76" s="26">
        <v>7.875</v>
      </c>
      <c r="C76" s="27">
        <v>108.086</v>
      </c>
      <c r="D76" s="28">
        <v>1.7450000000000001</v>
      </c>
      <c r="E76" s="4">
        <f t="shared" si="4"/>
        <v>0.984375</v>
      </c>
      <c r="F76" s="4">
        <f t="shared" si="5"/>
        <v>109.070375</v>
      </c>
      <c r="G76" s="4">
        <f t="shared" si="6"/>
        <v>1.375</v>
      </c>
      <c r="H76" s="23">
        <f t="shared" si="7"/>
        <v>2.0198022573343122E-2</v>
      </c>
      <c r="I76" s="2" cm="1">
        <f t="array" ref="I76">NSprice($L$4,$L$5,$L$6,$L$7,MOD(G76,0.5),(G76-MOD(G76,0.5))*2+1,B76/100,2)</f>
        <v>108.85937393602083</v>
      </c>
    </row>
    <row r="77" spans="1:9" ht="13.8">
      <c r="A77" s="25">
        <v>44255</v>
      </c>
      <c r="B77" s="26">
        <v>1.125</v>
      </c>
      <c r="C77" s="27">
        <v>99.052000000000007</v>
      </c>
      <c r="D77" s="28">
        <v>1.7250000000000001</v>
      </c>
      <c r="E77" s="4">
        <f t="shared" si="4"/>
        <v>9.1711956521739135E-2</v>
      </c>
      <c r="F77" s="4">
        <f t="shared" si="5"/>
        <v>99.143711956521742</v>
      </c>
      <c r="G77" s="4">
        <f t="shared" si="6"/>
        <v>1.4111111111111112</v>
      </c>
      <c r="H77" s="23">
        <f t="shared" si="7"/>
        <v>2.0123407682486289E-2</v>
      </c>
      <c r="I77" s="2" cm="1">
        <f t="array" ref="I77">NSprice($L$4,$L$5,$L$6,$L$7,MOD(G77,0.5),(G77-MOD(G77,0.5))*2+1,B77/100,2)</f>
        <v>98.856061346275041</v>
      </c>
    </row>
    <row r="78" spans="1:9" ht="13.8">
      <c r="A78" s="25">
        <v>44255</v>
      </c>
      <c r="B78" s="26">
        <v>2</v>
      </c>
      <c r="C78" s="27">
        <v>100.124</v>
      </c>
      <c r="D78" s="28">
        <v>1.7190000000000001</v>
      </c>
      <c r="E78" s="4">
        <f t="shared" si="4"/>
        <v>0.16304347826086957</v>
      </c>
      <c r="F78" s="4">
        <f t="shared" si="5"/>
        <v>100.28704347826087</v>
      </c>
      <c r="G78" s="4">
        <f t="shared" si="6"/>
        <v>1.4111111111111112</v>
      </c>
      <c r="H78" s="23">
        <f t="shared" si="7"/>
        <v>2.0123407682486289E-2</v>
      </c>
      <c r="I78" s="2" cm="1">
        <f t="array" ref="I78">NSprice($L$4,$L$5,$L$6,$L$7,MOD(G78,0.5),(G78-MOD(G78,0.5))*2+1,B78/100,2)</f>
        <v>100.1438739174061</v>
      </c>
    </row>
    <row r="79" spans="1:9" ht="13.8">
      <c r="A79" s="25">
        <v>44255</v>
      </c>
      <c r="B79" s="26">
        <v>2.5</v>
      </c>
      <c r="C79" s="27">
        <v>101.02200000000001</v>
      </c>
      <c r="D79" s="28">
        <v>1.73</v>
      </c>
      <c r="E79" s="4">
        <f t="shared" si="4"/>
        <v>0.20380434782608697</v>
      </c>
      <c r="F79" s="4">
        <f t="shared" si="5"/>
        <v>101.2258043478261</v>
      </c>
      <c r="G79" s="4">
        <f t="shared" si="6"/>
        <v>1.4111111111111112</v>
      </c>
      <c r="H79" s="23">
        <f t="shared" si="7"/>
        <v>2.0123407682486289E-2</v>
      </c>
      <c r="I79" s="2" cm="1">
        <f t="array" ref="I79">NSprice($L$4,$L$5,$L$6,$L$7,MOD(G79,0.5),(G79-MOD(G79,0.5))*2+1,B79/100,2)</f>
        <v>100.87976681519527</v>
      </c>
    </row>
    <row r="80" spans="1:9" ht="13.8">
      <c r="A80" s="25">
        <v>44270</v>
      </c>
      <c r="B80" s="26">
        <v>2.375</v>
      </c>
      <c r="C80" s="27">
        <v>100.29600000000001</v>
      </c>
      <c r="D80" s="28">
        <v>1.7250000000000001</v>
      </c>
      <c r="E80" s="4">
        <f t="shared" si="4"/>
        <v>9.787087912087912E-2</v>
      </c>
      <c r="F80" s="4">
        <f t="shared" si="5"/>
        <v>100.39387087912088</v>
      </c>
      <c r="G80" s="4">
        <f t="shared" si="6"/>
        <v>1.4583333333333333</v>
      </c>
      <c r="H80" s="23">
        <f t="shared" si="7"/>
        <v>2.0027394657444533E-2</v>
      </c>
      <c r="I80" s="2" cm="1">
        <f t="array" ref="I80">NSprice($L$4,$L$5,$L$6,$L$7,MOD(G80,0.5),(G80-MOD(G80,0.5))*2+1,B80/100,2)</f>
        <v>100.61391409983642</v>
      </c>
    </row>
    <row r="81" spans="1:9" ht="13.8">
      <c r="A81" s="25">
        <v>44286</v>
      </c>
      <c r="B81" s="26">
        <v>1.25</v>
      </c>
      <c r="C81" s="27">
        <v>99.102000000000004</v>
      </c>
      <c r="D81" s="28">
        <v>1.712</v>
      </c>
      <c r="E81" s="4">
        <f t="shared" si="4"/>
        <v>0</v>
      </c>
      <c r="F81" s="4">
        <f t="shared" si="5"/>
        <v>99.102000000000004</v>
      </c>
      <c r="G81" s="4">
        <f t="shared" si="6"/>
        <v>1.5</v>
      </c>
      <c r="H81" s="23">
        <f t="shared" si="7"/>
        <v>1.9944128233499007E-2</v>
      </c>
      <c r="I81" s="2" cm="1">
        <f t="array" ref="I81">NSprice($L$4,$L$5,$L$6,$L$7,MOD(G81,0.5),(G81-MOD(G81,0.5))*2+1,B81/100,2)</f>
        <v>99.514308959973746</v>
      </c>
    </row>
    <row r="82" spans="1:9" ht="13.8">
      <c r="A82" s="25">
        <v>44286</v>
      </c>
      <c r="B82" s="26">
        <v>2.25</v>
      </c>
      <c r="C82" s="27">
        <v>100.242</v>
      </c>
      <c r="D82" s="28">
        <v>1.7350000000000001</v>
      </c>
      <c r="E82" s="4">
        <f t="shared" si="4"/>
        <v>0</v>
      </c>
      <c r="F82" s="4">
        <f t="shared" si="5"/>
        <v>100.242</v>
      </c>
      <c r="G82" s="4">
        <f t="shared" si="6"/>
        <v>1.5</v>
      </c>
      <c r="H82" s="23">
        <f t="shared" si="7"/>
        <v>1.9944128233499007E-2</v>
      </c>
      <c r="I82" s="2" cm="1">
        <f t="array" ref="I82">NSprice($L$4,$L$5,$L$6,$L$7,MOD(G82,0.5),(G82-MOD(G82,0.5))*2+1,B82/100,2)</f>
        <v>101.4836067106686</v>
      </c>
    </row>
    <row r="83" spans="1:9" ht="13.8">
      <c r="A83" s="25">
        <v>44301</v>
      </c>
      <c r="B83" s="26">
        <v>2.375</v>
      </c>
      <c r="C83" s="27">
        <v>100.312</v>
      </c>
      <c r="D83" s="28">
        <v>1.7290000000000001</v>
      </c>
      <c r="E83" s="4">
        <f t="shared" si="4"/>
        <v>1.0901639344262295</v>
      </c>
      <c r="F83" s="4">
        <f t="shared" si="5"/>
        <v>101.40216393442623</v>
      </c>
      <c r="G83" s="4">
        <f t="shared" si="6"/>
        <v>1.5416666666666667</v>
      </c>
      <c r="H83" s="23">
        <f t="shared" si="7"/>
        <v>1.986220507154584E-2</v>
      </c>
      <c r="I83" s="2" cm="1">
        <f t="array" ref="I83">NSprice($L$4,$L$5,$L$6,$L$7,MOD(G83,0.5),(G83-MOD(G83,0.5))*2+1,B83/100,2)</f>
        <v>101.65749479157293</v>
      </c>
    </row>
    <row r="84" spans="1:9" ht="13.8">
      <c r="A84" s="25">
        <v>44316</v>
      </c>
      <c r="B84" s="26">
        <v>1.375</v>
      </c>
      <c r="C84" s="27">
        <v>99.152000000000001</v>
      </c>
      <c r="D84" s="28">
        <v>1.712</v>
      </c>
      <c r="E84" s="4">
        <f t="shared" si="4"/>
        <v>0.57479508196721318</v>
      </c>
      <c r="F84" s="4">
        <f t="shared" si="5"/>
        <v>99.726795081967211</v>
      </c>
      <c r="G84" s="4">
        <f t="shared" si="6"/>
        <v>1.5833333333333333</v>
      </c>
      <c r="H84" s="23">
        <f t="shared" si="7"/>
        <v>1.9781609076683353E-2</v>
      </c>
      <c r="I84" s="2" cm="1">
        <f t="array" ref="I84">NSprice($L$4,$L$5,$L$6,$L$7,MOD(G84,0.5),(G84-MOD(G84,0.5))*2+1,B84/100,2)</f>
        <v>99.619740599465842</v>
      </c>
    </row>
    <row r="85" spans="1:9" ht="13.8">
      <c r="A85" s="25">
        <v>44316</v>
      </c>
      <c r="B85" s="26">
        <v>2.25</v>
      </c>
      <c r="C85" s="27">
        <v>100.262</v>
      </c>
      <c r="D85" s="28">
        <v>1.722</v>
      </c>
      <c r="E85" s="4">
        <f t="shared" si="4"/>
        <v>0.94057377049180335</v>
      </c>
      <c r="F85" s="4">
        <f t="shared" si="5"/>
        <v>101.20257377049181</v>
      </c>
      <c r="G85" s="4">
        <f t="shared" si="6"/>
        <v>1.5833333333333333</v>
      </c>
      <c r="H85" s="23">
        <f t="shared" si="7"/>
        <v>1.9781609076683353E-2</v>
      </c>
      <c r="I85" s="2" cm="1">
        <f t="array" ref="I85">NSprice($L$4,$L$5,$L$6,$L$7,MOD(G85,0.5),(G85-MOD(G85,0.5))*2+1,B85/100,2)</f>
        <v>101.34001410300964</v>
      </c>
    </row>
    <row r="86" spans="1:9" ht="13.8">
      <c r="A86" s="25">
        <v>44331</v>
      </c>
      <c r="B86" s="26">
        <v>2.625</v>
      </c>
      <c r="C86" s="27">
        <v>101.146</v>
      </c>
      <c r="D86" s="28">
        <v>1.7070000000000001</v>
      </c>
      <c r="E86" s="4">
        <f t="shared" si="4"/>
        <v>0.984375</v>
      </c>
      <c r="F86" s="4">
        <f t="shared" si="5"/>
        <v>102.130375</v>
      </c>
      <c r="G86" s="4">
        <f t="shared" si="6"/>
        <v>1.625</v>
      </c>
      <c r="H86" s="23">
        <f t="shared" si="7"/>
        <v>1.9702324332176259E-2</v>
      </c>
      <c r="I86" s="2" cm="1">
        <f t="array" ref="I86">NSprice($L$4,$L$5,$L$6,$L$7,MOD(G86,0.5),(G86-MOD(G86,0.5))*2+1,B86/100,2)</f>
        <v>102.00567554790048</v>
      </c>
    </row>
    <row r="87" spans="1:9" ht="13.8">
      <c r="A87" s="25">
        <v>44331</v>
      </c>
      <c r="B87" s="26">
        <v>3.125</v>
      </c>
      <c r="C87" s="27">
        <v>102.072</v>
      </c>
      <c r="D87" s="28">
        <v>1.7270000000000001</v>
      </c>
      <c r="E87" s="4">
        <f t="shared" si="4"/>
        <v>1.171875</v>
      </c>
      <c r="F87" s="4">
        <f t="shared" si="5"/>
        <v>103.243875</v>
      </c>
      <c r="G87" s="4">
        <f t="shared" si="6"/>
        <v>1.625</v>
      </c>
      <c r="H87" s="23">
        <f t="shared" si="7"/>
        <v>1.9702324332176259E-2</v>
      </c>
      <c r="I87" s="2" cm="1">
        <f t="array" ref="I87">NSprice($L$4,$L$5,$L$6,$L$7,MOD(G87,0.5),(G87-MOD(G87,0.5))*2+1,B87/100,2)</f>
        <v>102.98788388488484</v>
      </c>
    </row>
    <row r="88" spans="1:9" ht="13.8">
      <c r="A88" s="25">
        <v>44331</v>
      </c>
      <c r="B88" s="26">
        <v>8.125</v>
      </c>
      <c r="C88" s="27">
        <v>110.07</v>
      </c>
      <c r="D88" s="28">
        <v>1.7090000000000001</v>
      </c>
      <c r="E88" s="4">
        <f t="shared" si="4"/>
        <v>3.046875</v>
      </c>
      <c r="F88" s="4">
        <f t="shared" si="5"/>
        <v>113.11687499999999</v>
      </c>
      <c r="G88" s="4">
        <f t="shared" si="6"/>
        <v>1.625</v>
      </c>
      <c r="H88" s="23">
        <f t="shared" si="7"/>
        <v>1.9702324332176259E-2</v>
      </c>
      <c r="I88" s="2" cm="1">
        <f t="array" ref="I88">NSprice($L$4,$L$5,$L$6,$L$7,MOD(G88,0.5),(G88-MOD(G88,0.5))*2+1,B88/100,2)</f>
        <v>112.80996725472841</v>
      </c>
    </row>
    <row r="89" spans="1:9" ht="13.8">
      <c r="A89" s="25">
        <v>44347</v>
      </c>
      <c r="B89" s="26">
        <v>1.375</v>
      </c>
      <c r="C89" s="27">
        <v>99.146000000000001</v>
      </c>
      <c r="D89" s="28">
        <v>1.7050000000000001</v>
      </c>
      <c r="E89" s="4">
        <f t="shared" si="4"/>
        <v>0.45833333333333331</v>
      </c>
      <c r="F89" s="4">
        <f t="shared" si="5"/>
        <v>99.604333333333329</v>
      </c>
      <c r="G89" s="4">
        <f t="shared" si="6"/>
        <v>1.6666666666666667</v>
      </c>
      <c r="H89" s="23">
        <f t="shared" si="7"/>
        <v>1.9624335097547331E-2</v>
      </c>
      <c r="I89" s="2" cm="1">
        <f t="array" ref="I89">NSprice($L$4,$L$5,$L$6,$L$7,MOD(G89,0.5),(G89-MOD(G89,0.5))*2+1,B89/100,2)</f>
        <v>99.481068511240707</v>
      </c>
    </row>
    <row r="90" spans="1:9" ht="13.8">
      <c r="A90" s="25">
        <v>44347</v>
      </c>
      <c r="B90" s="26">
        <v>2</v>
      </c>
      <c r="C90" s="27">
        <v>100.154</v>
      </c>
      <c r="D90" s="28">
        <v>1.7030000000000001</v>
      </c>
      <c r="E90" s="4">
        <f t="shared" si="4"/>
        <v>0.66666666666666663</v>
      </c>
      <c r="F90" s="4">
        <f t="shared" si="5"/>
        <v>100.82066666666667</v>
      </c>
      <c r="G90" s="4">
        <f t="shared" si="6"/>
        <v>1.6666666666666667</v>
      </c>
      <c r="H90" s="23">
        <f t="shared" si="7"/>
        <v>1.9624335097547331E-2</v>
      </c>
      <c r="I90" s="2" cm="1">
        <f t="array" ref="I90">NSprice($L$4,$L$5,$L$6,$L$7,MOD(G90,0.5),(G90-MOD(G90,0.5))*2+1,B90/100,2)</f>
        <v>100.70783274340175</v>
      </c>
    </row>
    <row r="91" spans="1:9" ht="13.8">
      <c r="A91" s="25">
        <v>44347</v>
      </c>
      <c r="B91" s="26">
        <v>2.125</v>
      </c>
      <c r="C91" s="27">
        <v>100.224</v>
      </c>
      <c r="D91" s="28">
        <v>1.694</v>
      </c>
      <c r="E91" s="4">
        <f t="shared" si="4"/>
        <v>0.70833333333333326</v>
      </c>
      <c r="F91" s="4">
        <f t="shared" si="5"/>
        <v>100.93233333333333</v>
      </c>
      <c r="G91" s="4">
        <f t="shared" si="6"/>
        <v>1.6666666666666667</v>
      </c>
      <c r="H91" s="23">
        <f t="shared" si="7"/>
        <v>1.9624335097547331E-2</v>
      </c>
      <c r="I91" s="2" cm="1">
        <f t="array" ref="I91">NSprice($L$4,$L$5,$L$6,$L$7,MOD(G91,0.5),(G91-MOD(G91,0.5))*2+1,B91/100,2)</f>
        <v>100.95318558983396</v>
      </c>
    </row>
    <row r="92" spans="1:9" ht="13.8">
      <c r="A92" s="25">
        <v>44362</v>
      </c>
      <c r="B92" s="26">
        <v>2.625</v>
      </c>
      <c r="C92" s="27">
        <v>101.182</v>
      </c>
      <c r="D92" s="28">
        <v>1.6859999999999999</v>
      </c>
      <c r="E92" s="4">
        <f t="shared" si="4"/>
        <v>0.76741803278688525</v>
      </c>
      <c r="F92" s="4">
        <f t="shared" si="5"/>
        <v>101.94941803278688</v>
      </c>
      <c r="G92" s="4">
        <f t="shared" si="6"/>
        <v>1.7083333333333333</v>
      </c>
      <c r="H92" s="23">
        <f t="shared" si="7"/>
        <v>1.9547625806689242E-2</v>
      </c>
      <c r="I92" s="2" cm="1">
        <f t="array" ref="I92">NSprice($L$4,$L$5,$L$6,$L$7,MOD(G92,0.5),(G92-MOD(G92,0.5))*2+1,B92/100,2)</f>
        <v>101.86402337958883</v>
      </c>
    </row>
    <row r="93" spans="1:9" ht="13.8">
      <c r="A93" s="25">
        <v>44377</v>
      </c>
      <c r="B93" s="26">
        <v>1.125</v>
      </c>
      <c r="C93" s="27">
        <v>99.012</v>
      </c>
      <c r="D93" s="28">
        <v>1.6850000000000001</v>
      </c>
      <c r="E93" s="4">
        <f t="shared" si="4"/>
        <v>0.28278688524590162</v>
      </c>
      <c r="F93" s="4">
        <f t="shared" si="5"/>
        <v>99.294786885245898</v>
      </c>
      <c r="G93" s="4">
        <f t="shared" si="6"/>
        <v>1.75</v>
      </c>
      <c r="H93" s="23">
        <f t="shared" si="7"/>
        <v>1.94721810659962E-2</v>
      </c>
      <c r="I93" s="2" cm="1">
        <f t="array" ref="I93">NSprice($L$4,$L$5,$L$6,$L$7,MOD(G93,0.5),(G93-MOD(G93,0.5))*2+1,B93/100,2)</f>
        <v>98.854416656000012</v>
      </c>
    </row>
    <row r="94" spans="1:9" ht="13.8">
      <c r="A94" s="25">
        <v>44377</v>
      </c>
      <c r="B94" s="26">
        <v>1.625</v>
      </c>
      <c r="C94" s="27">
        <v>99.292000000000002</v>
      </c>
      <c r="D94" s="28">
        <v>1.675</v>
      </c>
      <c r="E94" s="4">
        <f t="shared" si="4"/>
        <v>0.40846994535519127</v>
      </c>
      <c r="F94" s="4">
        <f t="shared" si="5"/>
        <v>99.700469945355195</v>
      </c>
      <c r="G94" s="4">
        <f t="shared" si="6"/>
        <v>1.75</v>
      </c>
      <c r="H94" s="23">
        <f t="shared" si="7"/>
        <v>1.94721810659962E-2</v>
      </c>
      <c r="I94" s="2" cm="1">
        <f t="array" ref="I94">NSprice($L$4,$L$5,$L$6,$L$7,MOD(G94,0.5),(G94-MOD(G94,0.5))*2+1,B94/100,2)</f>
        <v>99.834257758901813</v>
      </c>
    </row>
    <row r="95" spans="1:9" ht="13.8">
      <c r="A95" s="25">
        <v>44377</v>
      </c>
      <c r="B95" s="26">
        <v>2.125</v>
      </c>
      <c r="C95" s="27">
        <v>100.246</v>
      </c>
      <c r="D95" s="28">
        <v>1.673</v>
      </c>
      <c r="E95" s="4">
        <f t="shared" si="4"/>
        <v>0.53415300546448086</v>
      </c>
      <c r="F95" s="4">
        <f t="shared" si="5"/>
        <v>100.78015300546447</v>
      </c>
      <c r="G95" s="4">
        <f t="shared" si="6"/>
        <v>1.75</v>
      </c>
      <c r="H95" s="23">
        <f t="shared" si="7"/>
        <v>1.94721810659962E-2</v>
      </c>
      <c r="I95" s="2" cm="1">
        <f t="array" ref="I95">NSprice($L$4,$L$5,$L$6,$L$7,MOD(G95,0.5),(G95-MOD(G95,0.5))*2+1,B95/100,2)</f>
        <v>100.8140988618036</v>
      </c>
    </row>
    <row r="96" spans="1:9" ht="13.8">
      <c r="A96" s="25">
        <v>44392</v>
      </c>
      <c r="B96" s="26">
        <v>2.625</v>
      </c>
      <c r="C96" s="27">
        <v>101.21</v>
      </c>
      <c r="D96" s="28">
        <v>1.68</v>
      </c>
      <c r="E96" s="4">
        <f t="shared" si="4"/>
        <v>0.54925271739130443</v>
      </c>
      <c r="F96" s="4">
        <f t="shared" si="5"/>
        <v>101.75925271739129</v>
      </c>
      <c r="G96" s="4">
        <f t="shared" si="6"/>
        <v>1.7916666666666667</v>
      </c>
      <c r="H96" s="23">
        <f t="shared" si="7"/>
        <v>1.9397985652515378E-2</v>
      </c>
      <c r="I96" s="2" cm="1">
        <f t="array" ref="I96">NSprice($L$4,$L$5,$L$6,$L$7,MOD(G96,0.5),(G96-MOD(G96,0.5))*2+1,B96/100,2)</f>
        <v>101.72433221481738</v>
      </c>
    </row>
    <row r="97" spans="1:9" ht="13.8">
      <c r="A97" s="25">
        <v>44408</v>
      </c>
      <c r="B97" s="26">
        <v>1.125</v>
      </c>
      <c r="C97" s="27">
        <v>99.012</v>
      </c>
      <c r="D97" s="28">
        <v>1.66</v>
      </c>
      <c r="E97" s="4">
        <f t="shared" si="4"/>
        <v>0.18648097826086954</v>
      </c>
      <c r="F97" s="4">
        <f t="shared" si="5"/>
        <v>99.198480978260875</v>
      </c>
      <c r="G97" s="4">
        <f t="shared" si="6"/>
        <v>1.8333333333333333</v>
      </c>
      <c r="H97" s="23">
        <f t="shared" si="7"/>
        <v>1.9325024512117765E-2</v>
      </c>
      <c r="I97" s="2" cm="1">
        <f t="array" ref="I97">NSprice($L$4,$L$5,$L$6,$L$7,MOD(G97,0.5),(G97-MOD(G97,0.5))*2+1,B97/100,2)</f>
        <v>98.72028287419856</v>
      </c>
    </row>
    <row r="98" spans="1:9" ht="13.8">
      <c r="A98" s="25">
        <v>44408</v>
      </c>
      <c r="B98" s="26">
        <v>1.75</v>
      </c>
      <c r="C98" s="27">
        <v>100.05200000000001</v>
      </c>
      <c r="D98" s="28">
        <v>1.6579999999999999</v>
      </c>
      <c r="E98" s="4">
        <f t="shared" si="4"/>
        <v>0.29008152173913043</v>
      </c>
      <c r="F98" s="4">
        <f t="shared" si="5"/>
        <v>100.34208152173913</v>
      </c>
      <c r="G98" s="4">
        <f t="shared" si="6"/>
        <v>1.8333333333333333</v>
      </c>
      <c r="H98" s="23">
        <f t="shared" si="7"/>
        <v>1.9325024512117765E-2</v>
      </c>
      <c r="I98" s="2" cm="1">
        <f t="array" ref="I98">NSprice($L$4,$L$5,$L$6,$L$7,MOD(G98,0.5),(G98-MOD(G98,0.5))*2+1,B98/100,2)</f>
        <v>99.943159130032484</v>
      </c>
    </row>
    <row r="99" spans="1:9" ht="13.8">
      <c r="A99" s="25">
        <v>44408</v>
      </c>
      <c r="B99" s="26">
        <v>2.25</v>
      </c>
      <c r="C99" s="27">
        <v>101.01</v>
      </c>
      <c r="D99" s="28">
        <v>1.675</v>
      </c>
      <c r="E99" s="4">
        <f t="shared" si="4"/>
        <v>0.37296195652173908</v>
      </c>
      <c r="F99" s="4">
        <f t="shared" si="5"/>
        <v>101.38296195652174</v>
      </c>
      <c r="G99" s="4">
        <f t="shared" si="6"/>
        <v>1.8333333333333333</v>
      </c>
      <c r="H99" s="23">
        <f t="shared" si="7"/>
        <v>1.9325024512117765E-2</v>
      </c>
      <c r="I99" s="2" cm="1">
        <f t="array" ref="I99">NSprice($L$4,$L$5,$L$6,$L$7,MOD(G99,0.5),(G99-MOD(G99,0.5))*2+1,B99/100,2)</f>
        <v>100.92146013469961</v>
      </c>
    </row>
    <row r="100" spans="1:9" ht="13.8">
      <c r="A100" s="25">
        <v>44423</v>
      </c>
      <c r="B100" s="26">
        <v>2.125</v>
      </c>
      <c r="C100" s="27">
        <v>100.26600000000001</v>
      </c>
      <c r="D100" s="28">
        <v>1.669</v>
      </c>
      <c r="E100" s="4">
        <f t="shared" si="4"/>
        <v>0.265625</v>
      </c>
      <c r="F100" s="4">
        <f t="shared" si="5"/>
        <v>100.53162500000001</v>
      </c>
      <c r="G100" s="4">
        <f t="shared" si="6"/>
        <v>1.875</v>
      </c>
      <c r="H100" s="23">
        <f t="shared" si="7"/>
        <v>1.9253282757688232E-2</v>
      </c>
      <c r="I100" s="2" cm="1">
        <f t="array" ref="I100">NSprice($L$4,$L$5,$L$6,$L$7,MOD(G100,0.5),(G100-MOD(G100,0.5))*2+1,B100/100,2)</f>
        <v>100.60894521499519</v>
      </c>
    </row>
    <row r="101" spans="1:9" ht="13.8">
      <c r="A101" s="25">
        <v>44423</v>
      </c>
      <c r="B101" s="26">
        <v>2.75</v>
      </c>
      <c r="C101" s="27">
        <v>101.31399999999999</v>
      </c>
      <c r="D101" s="28">
        <v>1.669</v>
      </c>
      <c r="E101" s="4">
        <f t="shared" si="4"/>
        <v>0.34375</v>
      </c>
      <c r="F101" s="4">
        <f t="shared" si="5"/>
        <v>101.65774999999999</v>
      </c>
      <c r="G101" s="4">
        <f t="shared" si="6"/>
        <v>1.875</v>
      </c>
      <c r="H101" s="23">
        <f t="shared" si="7"/>
        <v>1.9253282757688232E-2</v>
      </c>
      <c r="I101" s="2" cm="1">
        <f t="array" ref="I101">NSprice($L$4,$L$5,$L$6,$L$7,MOD(G101,0.5),(G101-MOD(G101,0.5))*2+1,B101/100,2)</f>
        <v>101.8308724622329</v>
      </c>
    </row>
    <row r="102" spans="1:9" ht="13.8">
      <c r="A102" s="25">
        <v>44423</v>
      </c>
      <c r="B102" s="26">
        <v>8.125</v>
      </c>
      <c r="C102" s="27">
        <v>111.26</v>
      </c>
      <c r="D102" s="28">
        <v>1.6870000000000001</v>
      </c>
      <c r="E102" s="4">
        <f t="shared" si="4"/>
        <v>1.015625</v>
      </c>
      <c r="F102" s="4">
        <f t="shared" si="5"/>
        <v>112.27562500000001</v>
      </c>
      <c r="G102" s="4">
        <f t="shared" si="6"/>
        <v>1.875</v>
      </c>
      <c r="H102" s="23">
        <f t="shared" si="7"/>
        <v>1.9253282757688232E-2</v>
      </c>
      <c r="I102" s="2" cm="1">
        <f t="array" ref="I102">NSprice($L$4,$L$5,$L$6,$L$7,MOD(G102,0.5),(G102-MOD(G102,0.5))*2+1,B102/100,2)</f>
        <v>112.3394467884772</v>
      </c>
    </row>
    <row r="103" spans="1:9" ht="13.8">
      <c r="A103" s="25">
        <v>44439</v>
      </c>
      <c r="B103" s="26">
        <v>1.125</v>
      </c>
      <c r="C103" s="27">
        <v>99.004000000000005</v>
      </c>
      <c r="D103" s="28">
        <v>1.649</v>
      </c>
      <c r="E103" s="4">
        <f t="shared" si="4"/>
        <v>9.1711956521739135E-2</v>
      </c>
      <c r="F103" s="4">
        <f t="shared" si="5"/>
        <v>99.09571195652174</v>
      </c>
      <c r="G103" s="4">
        <f t="shared" si="6"/>
        <v>1.9166666666666667</v>
      </c>
      <c r="H103" s="23">
        <f t="shared" si="7"/>
        <v>1.9182745667334761E-2</v>
      </c>
      <c r="I103" s="2" cm="1">
        <f t="array" ref="I103">NSprice($L$4,$L$5,$L$6,$L$7,MOD(G103,0.5),(G103-MOD(G103,0.5))*2+1,B103/100,2)</f>
        <v>98.587853166227447</v>
      </c>
    </row>
    <row r="104" spans="1:9" ht="13.8">
      <c r="A104" s="25">
        <v>44439</v>
      </c>
      <c r="B104" s="26">
        <v>1.5</v>
      </c>
      <c r="C104" s="27">
        <v>99.231999999999999</v>
      </c>
      <c r="D104" s="28">
        <v>1.6459999999999999</v>
      </c>
      <c r="E104" s="4">
        <f t="shared" si="4"/>
        <v>0.12228260869565218</v>
      </c>
      <c r="F104" s="4">
        <f t="shared" si="5"/>
        <v>99.354282608695655</v>
      </c>
      <c r="G104" s="4">
        <f t="shared" si="6"/>
        <v>1.9166666666666667</v>
      </c>
      <c r="H104" s="23">
        <f t="shared" si="7"/>
        <v>1.9182745667334761E-2</v>
      </c>
      <c r="I104" s="2" cm="1">
        <f t="array" ref="I104">NSprice($L$4,$L$5,$L$6,$L$7,MOD(G104,0.5),(G104-MOD(G104,0.5))*2+1,B104/100,2)</f>
        <v>99.320445345055887</v>
      </c>
    </row>
    <row r="105" spans="1:9" ht="13.8">
      <c r="A105" s="25">
        <v>44439</v>
      </c>
      <c r="B105" s="26">
        <v>2</v>
      </c>
      <c r="C105" s="27">
        <v>100.20399999999999</v>
      </c>
      <c r="D105" s="28">
        <v>1.6579999999999999</v>
      </c>
      <c r="E105" s="4">
        <f t="shared" si="4"/>
        <v>0.16304347826086957</v>
      </c>
      <c r="F105" s="4">
        <f t="shared" si="5"/>
        <v>100.36704347826087</v>
      </c>
      <c r="G105" s="4">
        <f t="shared" si="6"/>
        <v>1.9166666666666667</v>
      </c>
      <c r="H105" s="23">
        <f t="shared" si="7"/>
        <v>1.9182745667334761E-2</v>
      </c>
      <c r="I105" s="2" cm="1">
        <f t="array" ref="I105">NSprice($L$4,$L$5,$L$6,$L$7,MOD(G105,0.5),(G105-MOD(G105,0.5))*2+1,B105/100,2)</f>
        <v>100.29723491682716</v>
      </c>
    </row>
    <row r="106" spans="1:9" ht="13.8">
      <c r="A106" s="25">
        <v>44454</v>
      </c>
      <c r="B106" s="26">
        <v>2.75</v>
      </c>
      <c r="C106" s="27">
        <v>102.05200000000001</v>
      </c>
      <c r="D106" s="28">
        <v>1.621</v>
      </c>
      <c r="E106" s="4">
        <f t="shared" si="4"/>
        <v>0.11332417582417582</v>
      </c>
      <c r="F106" s="4">
        <f t="shared" si="5"/>
        <v>102.16532417582418</v>
      </c>
      <c r="G106" s="4">
        <f t="shared" si="6"/>
        <v>1.9583333333333333</v>
      </c>
      <c r="H106" s="23">
        <f t="shared" si="7"/>
        <v>1.9113398682616509E-2</v>
      </c>
      <c r="I106" s="2" cm="1">
        <f t="array" ref="I106">NSprice($L$4,$L$5,$L$6,$L$7,MOD(G106,0.5),(G106-MOD(G106,0.5))*2+1,B106/100,2)</f>
        <v>101.69438808430183</v>
      </c>
    </row>
    <row r="107" spans="1:9" ht="13.8">
      <c r="A107" s="25">
        <v>44469</v>
      </c>
      <c r="B107" s="26">
        <v>1.125</v>
      </c>
      <c r="C107" s="27">
        <v>98.316000000000003</v>
      </c>
      <c r="D107" s="28">
        <v>1.64</v>
      </c>
      <c r="E107" s="4">
        <f t="shared" si="4"/>
        <v>0</v>
      </c>
      <c r="F107" s="4">
        <f t="shared" si="5"/>
        <v>98.316000000000003</v>
      </c>
      <c r="G107" s="4">
        <f t="shared" si="6"/>
        <v>2</v>
      </c>
      <c r="H107" s="23">
        <f t="shared" si="7"/>
        <v>1.904522740679053E-2</v>
      </c>
      <c r="I107" s="2" cm="1">
        <f t="array" ref="I107">NSprice($L$4,$L$5,$L$6,$L$7,MOD(G107,0.5),(G107-MOD(G107,0.5))*2+1,B107/100,2)</f>
        <v>99.019523298359744</v>
      </c>
    </row>
    <row r="108" spans="1:9" ht="13.8">
      <c r="A108" s="25">
        <v>44469</v>
      </c>
      <c r="B108" s="26">
        <v>1.5</v>
      </c>
      <c r="C108" s="27">
        <v>99.25</v>
      </c>
      <c r="D108" s="28">
        <v>1.6120000000000001</v>
      </c>
      <c r="E108" s="4">
        <f t="shared" si="4"/>
        <v>0</v>
      </c>
      <c r="F108" s="4">
        <f t="shared" si="5"/>
        <v>99.25</v>
      </c>
      <c r="G108" s="4">
        <f t="shared" si="6"/>
        <v>2</v>
      </c>
      <c r="H108" s="23">
        <f t="shared" si="7"/>
        <v>1.904522740679053E-2</v>
      </c>
      <c r="I108" s="2" cm="1">
        <f t="array" ref="I108">NSprice($L$4,$L$5,$L$6,$L$7,MOD(G108,0.5),(G108-MOD(G108,0.5))*2+1,B108/100,2)</f>
        <v>99.938502304147178</v>
      </c>
    </row>
    <row r="109" spans="1:9" ht="13.8">
      <c r="A109" s="25">
        <v>44469</v>
      </c>
      <c r="B109" s="26">
        <v>2.125</v>
      </c>
      <c r="C109" s="27">
        <v>100.29600000000001</v>
      </c>
      <c r="D109" s="28">
        <v>1.65</v>
      </c>
      <c r="E109" s="4">
        <f t="shared" si="4"/>
        <v>0</v>
      </c>
      <c r="F109" s="4">
        <f t="shared" si="5"/>
        <v>100.29600000000001</v>
      </c>
      <c r="G109" s="4">
        <f t="shared" si="6"/>
        <v>2</v>
      </c>
      <c r="H109" s="23">
        <f t="shared" si="7"/>
        <v>1.904522740679053E-2</v>
      </c>
      <c r="I109" s="2" cm="1">
        <f t="array" ref="I109">NSprice($L$4,$L$5,$L$6,$L$7,MOD(G109,0.5),(G109-MOD(G109,0.5))*2+1,B109/100,2)</f>
        <v>101.47013398045958</v>
      </c>
    </row>
    <row r="110" spans="1:9" ht="13.8">
      <c r="A110" s="25">
        <v>44484</v>
      </c>
      <c r="B110" s="26">
        <v>2.875</v>
      </c>
      <c r="C110" s="27">
        <v>102.15</v>
      </c>
      <c r="D110" s="28">
        <v>1.6379999999999999</v>
      </c>
      <c r="E110" s="4">
        <f t="shared" si="4"/>
        <v>1.319672131147541</v>
      </c>
      <c r="F110" s="4">
        <f t="shared" si="5"/>
        <v>103.46967213114755</v>
      </c>
      <c r="G110" s="4">
        <f t="shared" si="6"/>
        <v>2.0416666666666665</v>
      </c>
      <c r="H110" s="23">
        <f t="shared" si="7"/>
        <v>1.8978217603076976E-2</v>
      </c>
      <c r="I110" s="2" cm="1">
        <f t="array" ref="I110">NSprice($L$4,$L$5,$L$6,$L$7,MOD(G110,0.5),(G110-MOD(G110,0.5))*2+1,B110/100,2)</f>
        <v>103.23925831453803</v>
      </c>
    </row>
    <row r="111" spans="1:9" ht="13.8">
      <c r="A111" s="25">
        <v>44500</v>
      </c>
      <c r="B111" s="26">
        <v>1.25</v>
      </c>
      <c r="C111" s="27">
        <v>99.066000000000003</v>
      </c>
      <c r="D111" s="28">
        <v>1.637</v>
      </c>
      <c r="E111" s="4">
        <f t="shared" si="4"/>
        <v>0.52254098360655743</v>
      </c>
      <c r="F111" s="4">
        <f t="shared" si="5"/>
        <v>99.588540983606563</v>
      </c>
      <c r="G111" s="4">
        <f t="shared" si="6"/>
        <v>2.0833333333333335</v>
      </c>
      <c r="H111" s="23">
        <f t="shared" si="7"/>
        <v>1.8912355192942643E-2</v>
      </c>
      <c r="I111" s="2" cm="1">
        <f t="array" ref="I111">NSprice($L$4,$L$5,$L$6,$L$7,MOD(G111,0.5),(G111-MOD(G111,0.5))*2+1,B111/100,2)</f>
        <v>99.194924375088803</v>
      </c>
    </row>
    <row r="112" spans="1:9" ht="13.8">
      <c r="A112" s="25">
        <v>44500</v>
      </c>
      <c r="B112" s="26">
        <v>2</v>
      </c>
      <c r="C112" s="27">
        <v>100.23</v>
      </c>
      <c r="D112" s="28">
        <v>1.647</v>
      </c>
      <c r="E112" s="4">
        <f t="shared" si="4"/>
        <v>0.83606557377049184</v>
      </c>
      <c r="F112" s="4">
        <f t="shared" si="5"/>
        <v>101.0660655737705</v>
      </c>
      <c r="G112" s="4">
        <f t="shared" si="6"/>
        <v>2.0833333333333335</v>
      </c>
      <c r="H112" s="23">
        <f t="shared" si="7"/>
        <v>1.8912355192942643E-2</v>
      </c>
      <c r="I112" s="2" cm="1">
        <f t="array" ref="I112">NSprice($L$4,$L$5,$L$6,$L$7,MOD(G112,0.5),(G112-MOD(G112,0.5))*2+1,B112/100,2)</f>
        <v>101.02995653638199</v>
      </c>
    </row>
    <row r="113" spans="1:9" ht="13.8">
      <c r="A113" s="25">
        <v>44515</v>
      </c>
      <c r="B113" s="26">
        <v>2</v>
      </c>
      <c r="C113" s="27">
        <v>100.25</v>
      </c>
      <c r="D113" s="28">
        <v>1.6240000000000001</v>
      </c>
      <c r="E113" s="4">
        <f t="shared" si="4"/>
        <v>0.75</v>
      </c>
      <c r="F113" s="4">
        <f t="shared" si="5"/>
        <v>101</v>
      </c>
      <c r="G113" s="4">
        <f t="shared" si="6"/>
        <v>2.125</v>
      </c>
      <c r="H113" s="23">
        <f t="shared" si="7"/>
        <v>1.8847626254402502E-2</v>
      </c>
      <c r="I113" s="2" cm="1">
        <f t="array" ref="I113">NSprice($L$4,$L$5,$L$6,$L$7,MOD(G113,0.5),(G113-MOD(G113,0.5))*2+1,B113/100,2)</f>
        <v>100.96359783327406</v>
      </c>
    </row>
    <row r="114" spans="1:9" ht="13.8">
      <c r="A114" s="25">
        <v>44515</v>
      </c>
      <c r="B114" s="26">
        <v>2.875</v>
      </c>
      <c r="C114" s="27">
        <v>102.18</v>
      </c>
      <c r="D114" s="28">
        <v>1.641</v>
      </c>
      <c r="E114" s="4">
        <f t="shared" si="4"/>
        <v>1.078125</v>
      </c>
      <c r="F114" s="4">
        <f t="shared" si="5"/>
        <v>103.25812500000001</v>
      </c>
      <c r="G114" s="4">
        <f t="shared" si="6"/>
        <v>2.125</v>
      </c>
      <c r="H114" s="23">
        <f t="shared" si="7"/>
        <v>1.8847626254402502E-2</v>
      </c>
      <c r="I114" s="2" cm="1">
        <f t="array" ref="I114">NSprice($L$4,$L$5,$L$6,$L$7,MOD(G114,0.5),(G114-MOD(G114,0.5))*2+1,B114/100,2)</f>
        <v>103.1027862790594</v>
      </c>
    </row>
    <row r="115" spans="1:9" ht="13.8">
      <c r="A115" s="25">
        <v>44515</v>
      </c>
      <c r="B115" s="26">
        <v>8</v>
      </c>
      <c r="C115" s="27">
        <v>113.04600000000001</v>
      </c>
      <c r="D115" s="28">
        <v>1.667</v>
      </c>
      <c r="E115" s="4">
        <f t="shared" si="4"/>
        <v>3</v>
      </c>
      <c r="F115" s="4">
        <f t="shared" si="5"/>
        <v>116.04600000000001</v>
      </c>
      <c r="G115" s="4">
        <f t="shared" si="6"/>
        <v>2.125</v>
      </c>
      <c r="H115" s="23">
        <f t="shared" si="7"/>
        <v>1.8847626254402502E-2</v>
      </c>
      <c r="I115" s="2" cm="1">
        <f t="array" ref="I115">NSprice($L$4,$L$5,$L$6,$L$7,MOD(G115,0.5),(G115-MOD(G115,0.5))*2+1,B115/100,2)</f>
        <v>115.63231860437357</v>
      </c>
    </row>
    <row r="116" spans="1:9" ht="13.8">
      <c r="A116" s="25">
        <v>44530</v>
      </c>
      <c r="B116" s="26">
        <v>1.75</v>
      </c>
      <c r="C116" s="27">
        <v>100.08</v>
      </c>
      <c r="D116" s="28">
        <v>1.6319999999999999</v>
      </c>
      <c r="E116" s="4">
        <f t="shared" si="4"/>
        <v>0.58333333333333326</v>
      </c>
      <c r="F116" s="4">
        <f t="shared" si="5"/>
        <v>100.66333333333333</v>
      </c>
      <c r="G116" s="4">
        <f t="shared" si="6"/>
        <v>2.1666666666666665</v>
      </c>
      <c r="H116" s="23">
        <f t="shared" si="7"/>
        <v>1.8784017020339286E-2</v>
      </c>
      <c r="I116" s="2" cm="1">
        <f t="array" ref="I116">NSprice($L$4,$L$5,$L$6,$L$7,MOD(G116,0.5),(G116-MOD(G116,0.5))*2+1,B116/100,2)</f>
        <v>100.28688008423131</v>
      </c>
    </row>
    <row r="117" spans="1:9" ht="13.8">
      <c r="A117" s="25">
        <v>44530</v>
      </c>
      <c r="B117" s="26">
        <v>1.875</v>
      </c>
      <c r="C117" s="27">
        <v>100.176</v>
      </c>
      <c r="D117" s="28">
        <v>1.613</v>
      </c>
      <c r="E117" s="4">
        <f t="shared" si="4"/>
        <v>0.625</v>
      </c>
      <c r="F117" s="4">
        <f t="shared" si="5"/>
        <v>100.801</v>
      </c>
      <c r="G117" s="4">
        <f t="shared" si="6"/>
        <v>2.1666666666666665</v>
      </c>
      <c r="H117" s="23">
        <f t="shared" si="7"/>
        <v>1.8784017020339286E-2</v>
      </c>
      <c r="I117" s="2" cm="1">
        <f t="array" ref="I117">NSprice($L$4,$L$5,$L$6,$L$7,MOD(G117,0.5),(G117-MOD(G117,0.5))*2+1,B117/100,2)</f>
        <v>100.59224032857813</v>
      </c>
    </row>
    <row r="118" spans="1:9" ht="13.8">
      <c r="A118" s="25">
        <v>44545</v>
      </c>
      <c r="B118" s="26">
        <v>2.625</v>
      </c>
      <c r="C118" s="27">
        <v>102.074</v>
      </c>
      <c r="D118" s="28">
        <v>1.589</v>
      </c>
      <c r="E118" s="4">
        <f t="shared" si="4"/>
        <v>0.76741803278688525</v>
      </c>
      <c r="F118" s="4">
        <f t="shared" si="5"/>
        <v>102.84141803278688</v>
      </c>
      <c r="G118" s="4">
        <f t="shared" si="6"/>
        <v>2.2083333333333335</v>
      </c>
      <c r="H118" s="23">
        <f t="shared" si="7"/>
        <v>1.872151387684062E-2</v>
      </c>
      <c r="I118" s="2" cm="1">
        <f t="array" ref="I118">NSprice($L$4,$L$5,$L$6,$L$7,MOD(G118,0.5),(G118-MOD(G118,0.5))*2+1,B118/100,2)</f>
        <v>102.35757431204817</v>
      </c>
    </row>
    <row r="119" spans="1:9" ht="13.8">
      <c r="A119" s="25">
        <v>44561</v>
      </c>
      <c r="B119" s="26">
        <v>2</v>
      </c>
      <c r="C119" s="27">
        <v>100.27</v>
      </c>
      <c r="D119" s="28">
        <v>1.6160000000000001</v>
      </c>
      <c r="E119" s="4">
        <f t="shared" si="4"/>
        <v>0.50273224043715847</v>
      </c>
      <c r="F119" s="4">
        <f t="shared" si="5"/>
        <v>100.77273224043715</v>
      </c>
      <c r="G119" s="4">
        <f t="shared" si="6"/>
        <v>2.25</v>
      </c>
      <c r="H119" s="23">
        <f t="shared" si="7"/>
        <v>1.8660103361553888E-2</v>
      </c>
      <c r="I119" s="2" cm="1">
        <f t="array" ref="I119">NSprice($L$4,$L$5,$L$6,$L$7,MOD(G119,0.5),(G119-MOD(G119,0.5))*2+1,B119/100,2)</f>
        <v>100.7666424248967</v>
      </c>
    </row>
    <row r="120" spans="1:9" ht="13.8">
      <c r="A120" s="25">
        <v>44561</v>
      </c>
      <c r="B120" s="26">
        <v>2.125</v>
      </c>
      <c r="C120" s="27">
        <v>101.03400000000001</v>
      </c>
      <c r="D120" s="28">
        <v>1.62</v>
      </c>
      <c r="E120" s="4">
        <f t="shared" si="4"/>
        <v>0.53415300546448086</v>
      </c>
      <c r="F120" s="4">
        <f t="shared" si="5"/>
        <v>101.56815300546448</v>
      </c>
      <c r="G120" s="4">
        <f t="shared" si="6"/>
        <v>2.25</v>
      </c>
      <c r="H120" s="23">
        <f t="shared" si="7"/>
        <v>1.8660103361553888E-2</v>
      </c>
      <c r="I120" s="2" cm="1">
        <f t="array" ref="I120">NSprice($L$4,$L$5,$L$6,$L$7,MOD(G120,0.5),(G120-MOD(G120,0.5))*2+1,B120/100,2)</f>
        <v>101.0715329469175</v>
      </c>
    </row>
    <row r="121" spans="1:9" ht="13.8">
      <c r="A121" s="25">
        <v>44576</v>
      </c>
      <c r="B121" s="26">
        <v>2.5</v>
      </c>
      <c r="C121" s="27">
        <v>101.31</v>
      </c>
      <c r="D121" s="28">
        <v>1.62</v>
      </c>
      <c r="E121" s="4">
        <f t="shared" si="4"/>
        <v>0.52309782608695654</v>
      </c>
      <c r="F121" s="4">
        <f t="shared" si="5"/>
        <v>101.83309782608696</v>
      </c>
      <c r="G121" s="4">
        <f t="shared" si="6"/>
        <v>2.2916666666666665</v>
      </c>
      <c r="H121" s="23">
        <f t="shared" si="7"/>
        <v>1.8599772162058235E-2</v>
      </c>
      <c r="I121" s="2" cm="1">
        <f t="array" ref="I121">NSprice($L$4,$L$5,$L$6,$L$7,MOD(G121,0.5),(G121-MOD(G121,0.5))*2+1,B121/100,2)</f>
        <v>101.92029330724282</v>
      </c>
    </row>
    <row r="122" spans="1:9" ht="13.8">
      <c r="A122" s="25">
        <v>44592</v>
      </c>
      <c r="B122" s="26">
        <v>1.5</v>
      </c>
      <c r="C122" s="27">
        <v>99.242000000000004</v>
      </c>
      <c r="D122" s="28">
        <v>1.6060000000000001</v>
      </c>
      <c r="E122" s="4">
        <f t="shared" si="4"/>
        <v>0.24864130434782605</v>
      </c>
      <c r="F122" s="4">
        <f t="shared" si="5"/>
        <v>99.490641304347832</v>
      </c>
      <c r="G122" s="4">
        <f t="shared" si="6"/>
        <v>2.3333333333333335</v>
      </c>
      <c r="H122" s="23">
        <f t="shared" si="7"/>
        <v>1.8540507114253941E-2</v>
      </c>
      <c r="I122" s="2" cm="1">
        <f t="array" ref="I122">NSprice($L$4,$L$5,$L$6,$L$7,MOD(G122,0.5),(G122-MOD(G122,0.5))*2+1,B122/100,2)</f>
        <v>99.419272169334533</v>
      </c>
    </row>
    <row r="123" spans="1:9" ht="13.8">
      <c r="A123" s="25">
        <v>44592</v>
      </c>
      <c r="B123" s="26">
        <v>1.875</v>
      </c>
      <c r="C123" s="27">
        <v>100.19</v>
      </c>
      <c r="D123" s="28">
        <v>1.6140000000000001</v>
      </c>
      <c r="E123" s="4">
        <f t="shared" si="4"/>
        <v>0.31080163043478259</v>
      </c>
      <c r="F123" s="4">
        <f t="shared" si="5"/>
        <v>100.50080163043478</v>
      </c>
      <c r="G123" s="4">
        <f t="shared" si="6"/>
        <v>2.3333333333333335</v>
      </c>
      <c r="H123" s="23">
        <f t="shared" si="7"/>
        <v>1.8540507114253941E-2</v>
      </c>
      <c r="I123" s="2" cm="1">
        <f t="array" ref="I123">NSprice($L$4,$L$5,$L$6,$L$7,MOD(G123,0.5),(G123-MOD(G123,0.5))*2+1,B123/100,2)</f>
        <v>100.33255940389319</v>
      </c>
    </row>
    <row r="124" spans="1:9" ht="13.8">
      <c r="A124" s="25">
        <v>44607</v>
      </c>
      <c r="B124" s="26">
        <v>2</v>
      </c>
      <c r="C124" s="27">
        <v>100.3</v>
      </c>
      <c r="D124" s="28">
        <v>1.595</v>
      </c>
      <c r="E124" s="4">
        <f t="shared" si="4"/>
        <v>0.25</v>
      </c>
      <c r="F124" s="4">
        <f t="shared" si="5"/>
        <v>100.55</v>
      </c>
      <c r="G124" s="4">
        <f t="shared" si="6"/>
        <v>2.375</v>
      </c>
      <c r="H124" s="23">
        <f t="shared" si="7"/>
        <v>1.8482295200768651E-2</v>
      </c>
      <c r="I124" s="2" cm="1">
        <f t="array" ref="I124">NSprice($L$4,$L$5,$L$6,$L$7,MOD(G124,0.5),(G124-MOD(G124,0.5))*2+1,B124/100,2)</f>
        <v>100.57262232085232</v>
      </c>
    </row>
    <row r="125" spans="1:9" ht="13.8">
      <c r="A125" s="25">
        <v>44607</v>
      </c>
      <c r="B125" s="26">
        <v>2.5</v>
      </c>
      <c r="C125" s="27">
        <v>102.014</v>
      </c>
      <c r="D125" s="28">
        <v>1.617</v>
      </c>
      <c r="E125" s="4">
        <f t="shared" si="4"/>
        <v>0.3125</v>
      </c>
      <c r="F125" s="4">
        <f t="shared" si="5"/>
        <v>102.3265</v>
      </c>
      <c r="G125" s="4">
        <f t="shared" si="6"/>
        <v>2.375</v>
      </c>
      <c r="H125" s="23">
        <f t="shared" si="7"/>
        <v>1.8482295200768651E-2</v>
      </c>
      <c r="I125" s="2" cm="1">
        <f t="array" ref="I125">NSprice($L$4,$L$5,$L$6,$L$7,MOD(G125,0.5),(G125-MOD(G125,0.5))*2+1,B125/100,2)</f>
        <v>101.78942762143875</v>
      </c>
    </row>
    <row r="126" spans="1:9" ht="13.8">
      <c r="A126" s="25">
        <v>44620</v>
      </c>
      <c r="B126" s="26">
        <v>1.75</v>
      </c>
      <c r="C126" s="27">
        <v>100.11199999999999</v>
      </c>
      <c r="D126" s="28">
        <v>1.601</v>
      </c>
      <c r="E126" s="4">
        <f t="shared" si="4"/>
        <v>0.14266304347826086</v>
      </c>
      <c r="F126" s="4">
        <f t="shared" si="5"/>
        <v>100.25466304347826</v>
      </c>
      <c r="G126" s="4">
        <f t="shared" si="6"/>
        <v>2.411111111111111</v>
      </c>
      <c r="H126" s="23">
        <f t="shared" si="7"/>
        <v>1.8432686791255672E-2</v>
      </c>
      <c r="I126" s="2" cm="1">
        <f t="array" ref="I126">NSprice($L$4,$L$5,$L$6,$L$7,MOD(G126,0.5),(G126-MOD(G126,0.5))*2+1,B126/100,2)</f>
        <v>99.909064387887824</v>
      </c>
    </row>
    <row r="127" spans="1:9" ht="13.8">
      <c r="A127" s="25">
        <v>44620</v>
      </c>
      <c r="B127" s="26">
        <v>1.875</v>
      </c>
      <c r="C127" s="27">
        <v>100.194</v>
      </c>
      <c r="D127" s="28">
        <v>1.617</v>
      </c>
      <c r="E127" s="4">
        <f t="shared" si="4"/>
        <v>0.15285326086956522</v>
      </c>
      <c r="F127" s="4">
        <f t="shared" si="5"/>
        <v>100.34685326086957</v>
      </c>
      <c r="G127" s="4">
        <f t="shared" si="6"/>
        <v>2.411111111111111</v>
      </c>
      <c r="H127" s="23">
        <f t="shared" si="7"/>
        <v>1.8432686791255672E-2</v>
      </c>
      <c r="I127" s="2" cm="1">
        <f t="array" ref="I127">NSprice($L$4,$L$5,$L$6,$L$7,MOD(G127,0.5),(G127-MOD(G127,0.5))*2+1,B127/100,2)</f>
        <v>100.21306987308051</v>
      </c>
    </row>
    <row r="128" spans="1:9" ht="13.8">
      <c r="A128" s="25">
        <v>44635</v>
      </c>
      <c r="B128" s="28">
        <v>2.375</v>
      </c>
      <c r="C128" s="27">
        <v>101.3</v>
      </c>
      <c r="D128" s="26">
        <v>1.5680000000000001</v>
      </c>
      <c r="E128" s="4">
        <f t="shared" si="4"/>
        <v>9.787087912087912E-2</v>
      </c>
      <c r="F128" s="4">
        <f t="shared" si="5"/>
        <v>101.39787087912087</v>
      </c>
      <c r="G128" s="4">
        <f t="shared" si="6"/>
        <v>2.4583333333333335</v>
      </c>
      <c r="H128" s="23">
        <f t="shared" si="7"/>
        <v>1.8368979431457672E-2</v>
      </c>
      <c r="I128" s="2" cm="1">
        <f t="array" ref="I128">NSprice($L$4,$L$5,$L$6,$L$7,MOD(G128,0.5),(G128-MOD(G128,0.5))*2+1,B128/100,2)</f>
        <v>101.3560114823798</v>
      </c>
    </row>
    <row r="129" spans="1:9" ht="13.8">
      <c r="A129" s="25">
        <v>44651</v>
      </c>
      <c r="B129" s="28">
        <v>1.75</v>
      </c>
      <c r="C129" s="27">
        <v>100.134</v>
      </c>
      <c r="D129" s="26">
        <v>1.577</v>
      </c>
      <c r="E129" s="4">
        <f t="shared" si="4"/>
        <v>0</v>
      </c>
      <c r="F129" s="4">
        <f t="shared" si="5"/>
        <v>100.134</v>
      </c>
      <c r="G129" s="4">
        <f t="shared" si="6"/>
        <v>2.5</v>
      </c>
      <c r="H129" s="23">
        <f t="shared" si="7"/>
        <v>1.8313850260414981E-2</v>
      </c>
      <c r="I129" s="2" cm="1">
        <f t="array" ref="I129">NSprice($L$4,$L$5,$L$6,$L$7,MOD(G129,0.5),(G129-MOD(G129,0.5))*2+1,B129/100,2)</f>
        <v>100.64917799842121</v>
      </c>
    </row>
    <row r="130" spans="1:9" ht="13.8">
      <c r="A130" s="25">
        <v>44651</v>
      </c>
      <c r="B130" s="28">
        <v>1.875</v>
      </c>
      <c r="C130" s="27">
        <v>100.224</v>
      </c>
      <c r="D130" s="26">
        <v>1.587</v>
      </c>
      <c r="E130" s="4">
        <f t="shared" si="4"/>
        <v>0</v>
      </c>
      <c r="F130" s="4">
        <f t="shared" si="5"/>
        <v>100.224</v>
      </c>
      <c r="G130" s="4">
        <f t="shared" si="6"/>
        <v>2.5</v>
      </c>
      <c r="H130" s="23">
        <f t="shared" si="7"/>
        <v>1.8313850260414981E-2</v>
      </c>
      <c r="I130" s="2" cm="1">
        <f t="array" ref="I130">NSprice($L$4,$L$5,$L$6,$L$7,MOD(G130,0.5),(G130-MOD(G130,0.5))*2+1,B130/100,2)</f>
        <v>101.01520731342642</v>
      </c>
    </row>
    <row r="131" spans="1:9" ht="13.8">
      <c r="A131" s="25">
        <v>44666</v>
      </c>
      <c r="B131" s="28">
        <v>2.25</v>
      </c>
      <c r="C131" s="27">
        <v>101.194</v>
      </c>
      <c r="D131" s="26">
        <v>1.6</v>
      </c>
      <c r="E131" s="4">
        <f t="shared" si="4"/>
        <v>1.0327868852459017</v>
      </c>
      <c r="F131" s="4">
        <f t="shared" si="5"/>
        <v>102.2267868852459</v>
      </c>
      <c r="G131" s="4">
        <f t="shared" si="6"/>
        <v>2.5416666666666665</v>
      </c>
      <c r="H131" s="23">
        <f t="shared" si="7"/>
        <v>1.8259723590185947E-2</v>
      </c>
      <c r="I131" s="2" cm="1">
        <f t="array" ref="I131">NSprice($L$4,$L$5,$L$6,$L$7,MOD(G131,0.5),(G131-MOD(G131,0.5))*2+1,B131/100,2)</f>
        <v>102.04848072266506</v>
      </c>
    </row>
    <row r="132" spans="1:9" ht="13.8">
      <c r="A132" s="25">
        <v>44681</v>
      </c>
      <c r="B132" s="28">
        <v>1.75</v>
      </c>
      <c r="C132" s="27">
        <v>100.13</v>
      </c>
      <c r="D132" s="26">
        <v>1.589</v>
      </c>
      <c r="E132" s="4">
        <f t="shared" si="4"/>
        <v>0.73155737704918034</v>
      </c>
      <c r="F132" s="4">
        <f t="shared" si="5"/>
        <v>100.86155737704918</v>
      </c>
      <c r="G132" s="4">
        <f t="shared" si="6"/>
        <v>2.5833333333333335</v>
      </c>
      <c r="H132" s="23">
        <f t="shared" si="7"/>
        <v>1.8206587113711613E-2</v>
      </c>
      <c r="I132" s="2" cm="1">
        <f t="array" ref="I132">NSprice($L$4,$L$5,$L$6,$L$7,MOD(G132,0.5),(G132-MOD(G132,0.5))*2+1,B132/100,2)</f>
        <v>100.52206618787596</v>
      </c>
    </row>
    <row r="133" spans="1:9" ht="13.8">
      <c r="A133" s="25">
        <v>44681</v>
      </c>
      <c r="B133" s="28">
        <v>1.875</v>
      </c>
      <c r="C133" s="27">
        <v>100.224</v>
      </c>
      <c r="D133" s="26">
        <v>1.5960000000000001</v>
      </c>
      <c r="E133" s="4">
        <f t="shared" ref="E133:E196" si="8">COUPDAYBS($B$2,A133,2,1)/COUPDAYS($B$2,A133,2,1)*(B133/2)</f>
        <v>0.78381147540983609</v>
      </c>
      <c r="F133" s="4">
        <f t="shared" ref="F133:F196" si="9">E133+C133</f>
        <v>101.00781147540984</v>
      </c>
      <c r="G133" s="4">
        <f t="shared" ref="G133:G196" si="10">YEARFRAC($B$2,A133,)</f>
        <v>2.5833333333333335</v>
      </c>
      <c r="H133" s="23">
        <f t="shared" ref="H133:H196" si="11">$L$4+($L$5+$L$6)*$L$7*(1-EXP(-G133/$L$7))/G133-$L$6*EXP(-G133/$L$7)</f>
        <v>1.8206587113711613E-2</v>
      </c>
      <c r="I133" s="2" cm="1">
        <f t="array" ref="I133">NSprice($L$4,$L$5,$L$6,$L$7,MOD(G133,0.5),(G133-MOD(G133,0.5))*2+1,B133/100,2)</f>
        <v>100.88753333525271</v>
      </c>
    </row>
    <row r="134" spans="1:9" ht="13.8">
      <c r="A134" s="25">
        <v>44696</v>
      </c>
      <c r="B134" s="28">
        <v>1.75</v>
      </c>
      <c r="C134" s="27">
        <v>100.14</v>
      </c>
      <c r="D134" s="26">
        <v>1.579</v>
      </c>
      <c r="E134" s="4">
        <f t="shared" si="8"/>
        <v>0.65625</v>
      </c>
      <c r="F134" s="4">
        <f t="shared" si="9"/>
        <v>100.79625</v>
      </c>
      <c r="G134" s="4">
        <f t="shared" si="10"/>
        <v>2.625</v>
      </c>
      <c r="H134" s="23">
        <f t="shared" si="11"/>
        <v>1.8154428661445073E-2</v>
      </c>
      <c r="I134" s="2" cm="1">
        <f t="array" ref="I134">NSprice($L$4,$L$5,$L$6,$L$7,MOD(G134,0.5),(G134-MOD(G134,0.5))*2+1,B134/100,2)</f>
        <v>100.45888813813332</v>
      </c>
    </row>
    <row r="135" spans="1:9" ht="13.8">
      <c r="A135" s="25">
        <v>44696</v>
      </c>
      <c r="B135" s="28">
        <v>2.125</v>
      </c>
      <c r="C135" s="27">
        <v>101.104</v>
      </c>
      <c r="D135" s="26">
        <v>1.6060000000000001</v>
      </c>
      <c r="E135" s="4">
        <f t="shared" si="8"/>
        <v>0.796875</v>
      </c>
      <c r="F135" s="4">
        <f t="shared" si="9"/>
        <v>101.900875</v>
      </c>
      <c r="G135" s="4">
        <f t="shared" si="10"/>
        <v>2.625</v>
      </c>
      <c r="H135" s="23">
        <f t="shared" si="11"/>
        <v>1.8154428661445073E-2</v>
      </c>
      <c r="I135" s="2" cm="1">
        <f t="array" ref="I135">NSprice($L$4,$L$5,$L$6,$L$7,MOD(G135,0.5),(G135-MOD(G135,0.5))*2+1,B135/100,2)</f>
        <v>101.55445737080021</v>
      </c>
    </row>
    <row r="136" spans="1:9" ht="13.8">
      <c r="A136" s="25">
        <v>44712</v>
      </c>
      <c r="B136" s="28">
        <v>1.75</v>
      </c>
      <c r="C136" s="27">
        <v>100.126</v>
      </c>
      <c r="D136" s="26">
        <v>1.5960000000000001</v>
      </c>
      <c r="E136" s="4">
        <f t="shared" si="8"/>
        <v>0.58333333333333326</v>
      </c>
      <c r="F136" s="4">
        <f t="shared" si="9"/>
        <v>100.70933333333333</v>
      </c>
      <c r="G136" s="4">
        <f t="shared" si="10"/>
        <v>2.6666666666666665</v>
      </c>
      <c r="H136" s="23">
        <f t="shared" si="11"/>
        <v>1.8103236199871846E-2</v>
      </c>
      <c r="I136" s="2" cm="1">
        <f t="array" ref="I136">NSprice($L$4,$L$5,$L$6,$L$7,MOD(G136,0.5),(G136-MOD(G136,0.5))*2+1,B136/100,2)</f>
        <v>100.39594879755201</v>
      </c>
    </row>
    <row r="137" spans="1:9" ht="13.8">
      <c r="A137" s="25">
        <v>44712</v>
      </c>
      <c r="B137" s="28">
        <v>1.875</v>
      </c>
      <c r="C137" s="27">
        <v>100.24</v>
      </c>
      <c r="D137" s="26">
        <v>1.5860000000000001</v>
      </c>
      <c r="E137" s="4">
        <f t="shared" si="8"/>
        <v>0.625</v>
      </c>
      <c r="F137" s="4">
        <f t="shared" si="9"/>
        <v>100.86499999999999</v>
      </c>
      <c r="G137" s="4">
        <f t="shared" si="10"/>
        <v>2.6666666666666665</v>
      </c>
      <c r="H137" s="23">
        <f t="shared" si="11"/>
        <v>1.8103236199871846E-2</v>
      </c>
      <c r="I137" s="2" cm="1">
        <f t="array" ref="I137">NSprice($L$4,$L$5,$L$6,$L$7,MOD(G137,0.5),(G137-MOD(G137,0.5))*2+1,B137/100,2)</f>
        <v>100.76086350619666</v>
      </c>
    </row>
    <row r="138" spans="1:9" ht="13.8">
      <c r="A138" s="25">
        <v>44727</v>
      </c>
      <c r="B138" s="28">
        <v>1.75</v>
      </c>
      <c r="C138" s="27">
        <v>100.15</v>
      </c>
      <c r="D138" s="26">
        <v>1.57</v>
      </c>
      <c r="E138" s="4">
        <f t="shared" si="8"/>
        <v>0.51161202185792343</v>
      </c>
      <c r="F138" s="4">
        <f t="shared" si="9"/>
        <v>100.66161202185793</v>
      </c>
      <c r="G138" s="4">
        <f t="shared" si="10"/>
        <v>2.7083333333333335</v>
      </c>
      <c r="H138" s="23">
        <f t="shared" si="11"/>
        <v>1.8052997830045815E-2</v>
      </c>
      <c r="I138" s="2" cm="1">
        <f t="array" ref="I138">NSprice($L$4,$L$5,$L$6,$L$7,MOD(G138,0.5),(G138-MOD(G138,0.5))*2+1,B138/100,2)</f>
        <v>100.33323851590561</v>
      </c>
    </row>
    <row r="139" spans="1:9" ht="13.8">
      <c r="A139" s="25">
        <v>44742</v>
      </c>
      <c r="B139" s="28">
        <v>1.75</v>
      </c>
      <c r="C139" s="27">
        <v>100.146</v>
      </c>
      <c r="D139" s="26">
        <v>1.5780000000000001</v>
      </c>
      <c r="E139" s="4">
        <f t="shared" si="8"/>
        <v>0.43989071038251365</v>
      </c>
      <c r="F139" s="4">
        <f t="shared" si="9"/>
        <v>100.58589071038251</v>
      </c>
      <c r="G139" s="4">
        <f t="shared" si="10"/>
        <v>2.75</v>
      </c>
      <c r="H139" s="23">
        <f t="shared" si="11"/>
        <v>1.800370178614067E-2</v>
      </c>
      <c r="I139" s="2" cm="1">
        <f t="array" ref="I139">NSprice($L$4,$L$5,$L$6,$L$7,MOD(G139,0.5),(G139-MOD(G139,0.5))*2+1,B139/100,2)</f>
        <v>100.27074783557573</v>
      </c>
    </row>
    <row r="140" spans="1:9" ht="13.8">
      <c r="A140" s="25">
        <v>44742</v>
      </c>
      <c r="B140" s="28">
        <v>2.125</v>
      </c>
      <c r="C140" s="27">
        <v>101.15</v>
      </c>
      <c r="D140" s="26">
        <v>1.5760000000000001</v>
      </c>
      <c r="E140" s="4">
        <f t="shared" si="8"/>
        <v>0.53415300546448086</v>
      </c>
      <c r="F140" s="4">
        <f t="shared" si="9"/>
        <v>101.68415300546448</v>
      </c>
      <c r="G140" s="4">
        <f t="shared" si="10"/>
        <v>2.75</v>
      </c>
      <c r="H140" s="23">
        <f t="shared" si="11"/>
        <v>1.800370178614067E-2</v>
      </c>
      <c r="I140" s="2" cm="1">
        <f t="array" ref="I140">NSprice($L$4,$L$5,$L$6,$L$7,MOD(G140,0.5),(G140-MOD(G140,0.5))*2+1,B140/100,2)</f>
        <v>101.36386230224647</v>
      </c>
    </row>
    <row r="141" spans="1:9" ht="13.8">
      <c r="A141" s="25">
        <v>44757</v>
      </c>
      <c r="B141" s="28">
        <v>1.75</v>
      </c>
      <c r="C141" s="27">
        <v>100.13200000000001</v>
      </c>
      <c r="D141" s="26">
        <v>1.597</v>
      </c>
      <c r="E141" s="4">
        <f t="shared" si="8"/>
        <v>0.36616847826086957</v>
      </c>
      <c r="F141" s="4">
        <f t="shared" si="9"/>
        <v>100.49816847826088</v>
      </c>
      <c r="G141" s="4">
        <f t="shared" si="10"/>
        <v>2.7916666666666665</v>
      </c>
      <c r="H141" s="23">
        <f t="shared" si="11"/>
        <v>1.7955336434016683E-2</v>
      </c>
      <c r="I141" s="2" cm="1">
        <f t="array" ref="I141">NSprice($L$4,$L$5,$L$6,$L$7,MOD(G141,0.5),(G141-MOD(G141,0.5))*2+1,B141/100,2)</f>
        <v>100.20846748834835</v>
      </c>
    </row>
    <row r="142" spans="1:9" ht="13.8">
      <c r="A142" s="25">
        <v>44773</v>
      </c>
      <c r="B142" s="28">
        <v>1.875</v>
      </c>
      <c r="C142" s="27">
        <v>100.244</v>
      </c>
      <c r="D142" s="26">
        <v>1.597</v>
      </c>
      <c r="E142" s="4">
        <f t="shared" si="8"/>
        <v>0.31080163043478259</v>
      </c>
      <c r="F142" s="4">
        <f t="shared" si="9"/>
        <v>100.55480163043478</v>
      </c>
      <c r="G142" s="4">
        <f t="shared" si="10"/>
        <v>2.8333333333333335</v>
      </c>
      <c r="H142" s="23">
        <f t="shared" si="11"/>
        <v>1.7907890269802555E-2</v>
      </c>
      <c r="I142" s="2" cm="1">
        <f t="array" ref="I142">NSprice($L$4,$L$5,$L$6,$L$7,MOD(G142,0.5),(G142-MOD(G142,0.5))*2+1,B142/100,2)</f>
        <v>100.51022538947275</v>
      </c>
    </row>
    <row r="143" spans="1:9" ht="13.8">
      <c r="A143" s="25">
        <v>44773</v>
      </c>
      <c r="B143" s="28">
        <v>2</v>
      </c>
      <c r="C143" s="27">
        <v>101.056</v>
      </c>
      <c r="D143" s="26">
        <v>1.5720000000000001</v>
      </c>
      <c r="E143" s="4">
        <f t="shared" si="8"/>
        <v>0.33152173913043476</v>
      </c>
      <c r="F143" s="4">
        <f t="shared" si="9"/>
        <v>101.38752173913043</v>
      </c>
      <c r="G143" s="4">
        <f t="shared" si="10"/>
        <v>2.8333333333333335</v>
      </c>
      <c r="H143" s="23">
        <f t="shared" si="11"/>
        <v>1.7907890269802555E-2</v>
      </c>
      <c r="I143" s="2" cm="1">
        <f t="array" ref="I143">NSprice($L$4,$L$5,$L$6,$L$7,MOD(G143,0.5),(G143-MOD(G143,0.5))*2+1,B143/100,2)</f>
        <v>100.87406238667859</v>
      </c>
    </row>
    <row r="144" spans="1:9" ht="13.8">
      <c r="A144" s="25">
        <v>44788</v>
      </c>
      <c r="B144" s="28">
        <v>1.5</v>
      </c>
      <c r="C144" s="27">
        <v>99.254000000000005</v>
      </c>
      <c r="D144" s="26">
        <v>1.5720000000000001</v>
      </c>
      <c r="E144" s="4">
        <f t="shared" si="8"/>
        <v>0.1875</v>
      </c>
      <c r="F144" s="4">
        <f t="shared" si="9"/>
        <v>99.441500000000005</v>
      </c>
      <c r="G144" s="4">
        <f t="shared" si="10"/>
        <v>2.875</v>
      </c>
      <c r="H144" s="23">
        <f t="shared" si="11"/>
        <v>1.7861351918492238E-2</v>
      </c>
      <c r="I144" s="2" cm="1">
        <f t="array" ref="I144">NSprice($L$4,$L$5,$L$6,$L$7,MOD(G144,0.5),(G144-MOD(G144,0.5))*2+1,B144/100,2)</f>
        <v>99.357355896517532</v>
      </c>
    </row>
    <row r="145" spans="1:9" ht="13.8">
      <c r="A145" s="25">
        <v>44788</v>
      </c>
      <c r="B145" s="28">
        <v>1.625</v>
      </c>
      <c r="C145" s="27">
        <v>100.044</v>
      </c>
      <c r="D145" s="26">
        <v>1.575</v>
      </c>
      <c r="E145" s="4">
        <f t="shared" si="8"/>
        <v>0.203125</v>
      </c>
      <c r="F145" s="4">
        <f t="shared" si="9"/>
        <v>100.247125</v>
      </c>
      <c r="G145" s="4">
        <f t="shared" si="10"/>
        <v>2.875</v>
      </c>
      <c r="H145" s="23">
        <f t="shared" si="11"/>
        <v>1.7861351918492238E-2</v>
      </c>
      <c r="I145" s="2" cm="1">
        <f t="array" ref="I145">NSprice($L$4,$L$5,$L$6,$L$7,MOD(G145,0.5),(G145-MOD(G145,0.5))*2+1,B145/100,2)</f>
        <v>99.72092877252939</v>
      </c>
    </row>
    <row r="146" spans="1:9" ht="13.8">
      <c r="A146" s="25">
        <v>44788</v>
      </c>
      <c r="B146" s="28">
        <v>7.25</v>
      </c>
      <c r="C146" s="27">
        <v>115.264</v>
      </c>
      <c r="D146" s="26">
        <v>1.59</v>
      </c>
      <c r="E146" s="4">
        <f t="shared" si="8"/>
        <v>0.90625</v>
      </c>
      <c r="F146" s="4">
        <f t="shared" si="9"/>
        <v>116.17025</v>
      </c>
      <c r="G146" s="4">
        <f t="shared" si="10"/>
        <v>2.875</v>
      </c>
      <c r="H146" s="23">
        <f t="shared" si="11"/>
        <v>1.7861351918492238E-2</v>
      </c>
      <c r="I146" s="2" cm="1">
        <f t="array" ref="I146">NSprice($L$4,$L$5,$L$6,$L$7,MOD(G146,0.5),(G146-MOD(G146,0.5))*2+1,B146/100,2)</f>
        <v>116.08170819306233</v>
      </c>
    </row>
    <row r="147" spans="1:9" ht="13.8">
      <c r="A147" s="25">
        <v>44804</v>
      </c>
      <c r="B147" s="28">
        <v>1.625</v>
      </c>
      <c r="C147" s="27">
        <v>100.032</v>
      </c>
      <c r="D147" s="26">
        <v>1.589</v>
      </c>
      <c r="E147" s="4">
        <f t="shared" si="8"/>
        <v>0.13247282608695651</v>
      </c>
      <c r="F147" s="4">
        <f t="shared" si="9"/>
        <v>100.16447282608695</v>
      </c>
      <c r="G147" s="4">
        <f t="shared" si="10"/>
        <v>2.9166666666666665</v>
      </c>
      <c r="H147" s="23">
        <f t="shared" si="11"/>
        <v>1.7815710132556693E-2</v>
      </c>
      <c r="I147" s="2" cm="1">
        <f t="array" ref="I147">NSprice($L$4,$L$5,$L$6,$L$7,MOD(G147,0.5),(G147-MOD(G147,0.5))*2+1,B147/100,2)</f>
        <v>99.659487777494505</v>
      </c>
    </row>
    <row r="148" spans="1:9" ht="13.8">
      <c r="A148" s="25">
        <v>44804</v>
      </c>
      <c r="B148" s="28">
        <v>1.875</v>
      </c>
      <c r="C148" s="27">
        <v>100.27200000000001</v>
      </c>
      <c r="D148" s="26">
        <v>1.575</v>
      </c>
      <c r="E148" s="4">
        <f t="shared" si="8"/>
        <v>0.15285326086956522</v>
      </c>
      <c r="F148" s="4">
        <f t="shared" si="9"/>
        <v>100.42485326086957</v>
      </c>
      <c r="G148" s="4">
        <f t="shared" si="10"/>
        <v>2.9166666666666665</v>
      </c>
      <c r="H148" s="23">
        <f t="shared" si="11"/>
        <v>1.7815710132556693E-2</v>
      </c>
      <c r="I148" s="2" cm="1">
        <f t="array" ref="I148">NSprice($L$4,$L$5,$L$6,$L$7,MOD(G148,0.5),(G148-MOD(G148,0.5))*2+1,B148/100,2)</f>
        <v>100.3861092995258</v>
      </c>
    </row>
    <row r="149" spans="1:9" ht="13.8">
      <c r="A149" s="25">
        <v>44819</v>
      </c>
      <c r="B149" s="28">
        <v>1.5</v>
      </c>
      <c r="C149" s="27">
        <v>99.263999999999996</v>
      </c>
      <c r="D149" s="26">
        <v>1.56</v>
      </c>
      <c r="E149" s="4">
        <f t="shared" si="8"/>
        <v>6.1813186813186816E-2</v>
      </c>
      <c r="F149" s="4">
        <f t="shared" si="9"/>
        <v>99.325813186813178</v>
      </c>
      <c r="G149" s="4">
        <f t="shared" si="10"/>
        <v>2.9583333333333335</v>
      </c>
      <c r="H149" s="23">
        <f t="shared" si="11"/>
        <v>1.7770953790570157E-2</v>
      </c>
      <c r="I149" s="2" cm="1">
        <f t="array" ref="I149">NSprice($L$4,$L$5,$L$6,$L$7,MOD(G149,0.5),(G149-MOD(G149,0.5))*2+1,B149/100,2)</f>
        <v>99.235169328852209</v>
      </c>
    </row>
    <row r="150" spans="1:9" ht="13.8">
      <c r="A150" s="25">
        <v>44834</v>
      </c>
      <c r="B150" s="28">
        <v>1.75</v>
      </c>
      <c r="C150" s="27">
        <v>100.17</v>
      </c>
      <c r="D150" s="26">
        <v>1.5680000000000001</v>
      </c>
      <c r="E150" s="4">
        <f t="shared" si="8"/>
        <v>0</v>
      </c>
      <c r="F150" s="4">
        <f t="shared" si="9"/>
        <v>100.17</v>
      </c>
      <c r="G150" s="4">
        <f t="shared" si="10"/>
        <v>3</v>
      </c>
      <c r="H150" s="23">
        <f t="shared" si="11"/>
        <v>1.7727071895851064E-2</v>
      </c>
      <c r="I150" s="2" cm="1">
        <f t="array" ref="I150">NSprice($L$4,$L$5,$L$6,$L$7,MOD(G150,0.5),(G150-MOD(G150,0.5))*2+1,B150/100,2)</f>
        <v>100.77490922768231</v>
      </c>
    </row>
    <row r="151" spans="1:9" ht="13.8">
      <c r="A151" s="25">
        <v>44834</v>
      </c>
      <c r="B151" s="28">
        <v>1.875</v>
      </c>
      <c r="C151" s="27">
        <v>100.286</v>
      </c>
      <c r="D151" s="26">
        <v>1.5669999999999999</v>
      </c>
      <c r="E151" s="4">
        <f t="shared" si="8"/>
        <v>0</v>
      </c>
      <c r="F151" s="4">
        <f t="shared" si="9"/>
        <v>100.286</v>
      </c>
      <c r="G151" s="4">
        <f t="shared" si="10"/>
        <v>3</v>
      </c>
      <c r="H151" s="23">
        <f t="shared" si="11"/>
        <v>1.7727071895851064E-2</v>
      </c>
      <c r="I151" s="2" cm="1">
        <f t="array" ref="I151">NSprice($L$4,$L$5,$L$6,$L$7,MOD(G151,0.5),(G151-MOD(G151,0.5))*2+1,B151/100,2)</f>
        <v>101.20020155310735</v>
      </c>
    </row>
    <row r="152" spans="1:9" ht="13.8">
      <c r="A152" s="25">
        <v>44865</v>
      </c>
      <c r="B152" s="28">
        <v>1.875</v>
      </c>
      <c r="C152" s="27">
        <v>100.28400000000001</v>
      </c>
      <c r="D152" s="26">
        <v>1.5780000000000001</v>
      </c>
      <c r="E152" s="4">
        <f t="shared" si="8"/>
        <v>0.78381147540983609</v>
      </c>
      <c r="F152" s="4">
        <f t="shared" si="9"/>
        <v>101.06781147540984</v>
      </c>
      <c r="G152" s="4">
        <f t="shared" si="10"/>
        <v>3.0833333333333335</v>
      </c>
      <c r="H152" s="23">
        <f t="shared" si="11"/>
        <v>1.7641888077155381E-2</v>
      </c>
      <c r="I152" s="2" cm="1">
        <f t="array" ref="I152">NSprice($L$4,$L$5,$L$6,$L$7,MOD(G152,0.5),(G152-MOD(G152,0.5))*2+1,B152/100,2)</f>
        <v>101.07558996901264</v>
      </c>
    </row>
    <row r="153" spans="1:9" ht="13.8">
      <c r="A153" s="25">
        <v>44865</v>
      </c>
      <c r="B153" s="28">
        <v>2</v>
      </c>
      <c r="C153" s="27">
        <v>101.08</v>
      </c>
      <c r="D153" s="26">
        <v>1.583</v>
      </c>
      <c r="E153" s="4">
        <f t="shared" si="8"/>
        <v>0.83606557377049184</v>
      </c>
      <c r="F153" s="4">
        <f t="shared" si="9"/>
        <v>101.9160655737705</v>
      </c>
      <c r="G153" s="4">
        <f t="shared" si="10"/>
        <v>3.0833333333333335</v>
      </c>
      <c r="H153" s="23">
        <f t="shared" si="11"/>
        <v>1.7641888077155381E-2</v>
      </c>
      <c r="I153" s="2" cm="1">
        <f t="array" ref="I153">NSprice($L$4,$L$5,$L$6,$L$7,MOD(G153,0.5),(G153-MOD(G153,0.5))*2+1,B153/100,2)</f>
        <v>101.50024818930477</v>
      </c>
    </row>
    <row r="154" spans="1:9" ht="13.8">
      <c r="A154" s="25">
        <v>44880</v>
      </c>
      <c r="B154" s="28">
        <v>1.625</v>
      </c>
      <c r="C154" s="27">
        <v>100.05</v>
      </c>
      <c r="D154" s="26">
        <v>1.573</v>
      </c>
      <c r="E154" s="4">
        <f t="shared" si="8"/>
        <v>0.609375</v>
      </c>
      <c r="F154" s="4">
        <f t="shared" si="9"/>
        <v>100.659375</v>
      </c>
      <c r="G154" s="4">
        <f t="shared" si="10"/>
        <v>3.125</v>
      </c>
      <c r="H154" s="23">
        <f t="shared" si="11"/>
        <v>1.7600564771504505E-2</v>
      </c>
      <c r="I154" s="2" cm="1">
        <f t="array" ref="I154">NSprice($L$4,$L$5,$L$6,$L$7,MOD(G154,0.5),(G154-MOD(G154,0.5))*2+1,B154/100,2)</f>
        <v>100.16483224964834</v>
      </c>
    </row>
    <row r="155" spans="1:9" ht="13.8">
      <c r="A155" s="25">
        <v>44880</v>
      </c>
      <c r="B155" s="28">
        <v>7.625</v>
      </c>
      <c r="C155" s="27">
        <v>118.10599999999999</v>
      </c>
      <c r="D155" s="26">
        <v>1.5820000000000001</v>
      </c>
      <c r="E155" s="4">
        <f t="shared" si="8"/>
        <v>2.859375</v>
      </c>
      <c r="F155" s="4">
        <f t="shared" si="9"/>
        <v>120.96537499999999</v>
      </c>
      <c r="G155" s="4">
        <f t="shared" si="10"/>
        <v>3.125</v>
      </c>
      <c r="H155" s="23">
        <f t="shared" si="11"/>
        <v>1.7600564771504505E-2</v>
      </c>
      <c r="I155" s="2" cm="1">
        <f t="array" ref="I155">NSprice($L$4,$L$5,$L$6,$L$7,MOD(G155,0.5),(G155-MOD(G155,0.5))*2+1,B155/100,2)</f>
        <v>120.53339040479734</v>
      </c>
    </row>
    <row r="156" spans="1:9" ht="13.8">
      <c r="A156" s="25">
        <v>44895</v>
      </c>
      <c r="B156" s="28">
        <v>2</v>
      </c>
      <c r="C156" s="27">
        <v>101.086</v>
      </c>
      <c r="D156" s="26">
        <v>1.5860000000000001</v>
      </c>
      <c r="E156" s="4">
        <f t="shared" si="8"/>
        <v>0.66666666666666663</v>
      </c>
      <c r="F156" s="4">
        <f t="shared" si="9"/>
        <v>101.75266666666667</v>
      </c>
      <c r="G156" s="4">
        <f t="shared" si="10"/>
        <v>3.1666666666666665</v>
      </c>
      <c r="H156" s="23">
        <f t="shared" si="11"/>
        <v>1.7560073147153445E-2</v>
      </c>
      <c r="I156" s="2" cm="1">
        <f t="array" ref="I156">NSprice($L$4,$L$5,$L$6,$L$7,MOD(G156,0.5),(G156-MOD(G156,0.5))*2+1,B156/100,2)</f>
        <v>101.37563644020658</v>
      </c>
    </row>
    <row r="157" spans="1:9" ht="13.8">
      <c r="A157" s="25">
        <v>44926</v>
      </c>
      <c r="B157" s="28">
        <v>2.125</v>
      </c>
      <c r="C157" s="27">
        <v>101.23</v>
      </c>
      <c r="D157" s="26">
        <v>1.58</v>
      </c>
      <c r="E157" s="4">
        <f t="shared" si="8"/>
        <v>0.53415300546448086</v>
      </c>
      <c r="F157" s="4">
        <f t="shared" si="9"/>
        <v>101.76415300546448</v>
      </c>
      <c r="G157" s="4">
        <f t="shared" si="10"/>
        <v>3.25</v>
      </c>
      <c r="H157" s="23">
        <f t="shared" si="11"/>
        <v>1.748154348783576E-2</v>
      </c>
      <c r="I157" s="2" cm="1">
        <f t="array" ref="I157">NSprice($L$4,$L$5,$L$6,$L$7,MOD(G157,0.5),(G157-MOD(G157,0.5))*2+1,B157/100,2)</f>
        <v>101.67501418253374</v>
      </c>
    </row>
    <row r="158" spans="1:9" ht="13.8">
      <c r="A158" s="25">
        <v>44957</v>
      </c>
      <c r="B158" s="28">
        <v>1.75</v>
      </c>
      <c r="C158" s="27">
        <v>100.176</v>
      </c>
      <c r="D158" s="26">
        <v>1.5780000000000001</v>
      </c>
      <c r="E158" s="4">
        <f t="shared" si="8"/>
        <v>0.29008152173913043</v>
      </c>
      <c r="F158" s="4">
        <f t="shared" si="9"/>
        <v>100.46608152173913</v>
      </c>
      <c r="G158" s="4">
        <f t="shared" si="10"/>
        <v>3.3333333333333335</v>
      </c>
      <c r="H158" s="23">
        <f t="shared" si="11"/>
        <v>1.7406217351473706E-2</v>
      </c>
      <c r="I158" s="2" cm="1">
        <f t="array" ref="I158">NSprice($L$4,$L$5,$L$6,$L$7,MOD(G158,0.5),(G158-MOD(G158,0.5))*2+1,B158/100,2)</f>
        <v>100.28243364912073</v>
      </c>
    </row>
    <row r="159" spans="1:9" ht="13.8">
      <c r="A159" s="25">
        <v>44957</v>
      </c>
      <c r="B159" s="28">
        <v>2.375</v>
      </c>
      <c r="C159" s="27">
        <v>102.17400000000001</v>
      </c>
      <c r="D159" s="26">
        <v>1.587</v>
      </c>
      <c r="E159" s="4">
        <f t="shared" si="8"/>
        <v>0.3936820652173913</v>
      </c>
      <c r="F159" s="4">
        <f t="shared" si="9"/>
        <v>102.5676820652174</v>
      </c>
      <c r="G159" s="4">
        <f t="shared" si="10"/>
        <v>3.3333333333333335</v>
      </c>
      <c r="H159" s="23">
        <f t="shared" si="11"/>
        <v>1.7406217351473706E-2</v>
      </c>
      <c r="I159" s="2" cm="1">
        <f t="array" ref="I159">NSprice($L$4,$L$5,$L$6,$L$7,MOD(G159,0.5),(G159-MOD(G159,0.5))*2+1,B159/100,2)</f>
        <v>102.39650313232538</v>
      </c>
    </row>
    <row r="160" spans="1:9" ht="13.8">
      <c r="A160" s="25">
        <v>44972</v>
      </c>
      <c r="B160" s="28">
        <v>2</v>
      </c>
      <c r="C160" s="27">
        <v>101.122</v>
      </c>
      <c r="D160" s="26">
        <v>1.577</v>
      </c>
      <c r="E160" s="4">
        <f t="shared" si="8"/>
        <v>0.25</v>
      </c>
      <c r="F160" s="4">
        <f t="shared" si="9"/>
        <v>101.372</v>
      </c>
      <c r="G160" s="4">
        <f t="shared" si="10"/>
        <v>3.375</v>
      </c>
      <c r="H160" s="23">
        <f t="shared" si="11"/>
        <v>1.7369730559739574E-2</v>
      </c>
      <c r="I160" s="2" cm="1">
        <f t="array" ref="I160">NSprice($L$4,$L$5,$L$6,$L$7,MOD(G160,0.5),(G160-MOD(G160,0.5))*2+1,B160/100,2)</f>
        <v>101.06646709285877</v>
      </c>
    </row>
    <row r="161" spans="1:9" ht="13.8">
      <c r="A161" s="25">
        <v>44972</v>
      </c>
      <c r="B161" s="28">
        <v>7.125</v>
      </c>
      <c r="C161" s="27">
        <v>118.044</v>
      </c>
      <c r="D161" s="26">
        <v>1.579</v>
      </c>
      <c r="E161" s="4">
        <f t="shared" si="8"/>
        <v>0.890625</v>
      </c>
      <c r="F161" s="4">
        <f t="shared" si="9"/>
        <v>118.934625</v>
      </c>
      <c r="G161" s="4">
        <f t="shared" si="10"/>
        <v>3.375</v>
      </c>
      <c r="H161" s="23">
        <f t="shared" si="11"/>
        <v>1.7369730559739574E-2</v>
      </c>
      <c r="I161" s="2" cm="1">
        <f t="array" ref="I161">NSprice($L$4,$L$5,$L$6,$L$7,MOD(G161,0.5),(G161-MOD(G161,0.5))*2+1,B161/100,2)</f>
        <v>118.38955237576974</v>
      </c>
    </row>
    <row r="162" spans="1:9" ht="13.8">
      <c r="A162" s="25">
        <v>44985</v>
      </c>
      <c r="B162" s="28">
        <v>1.5</v>
      </c>
      <c r="C162" s="27">
        <v>99.25</v>
      </c>
      <c r="D162" s="26">
        <v>1.5660000000000001</v>
      </c>
      <c r="E162" s="4">
        <f t="shared" si="8"/>
        <v>0.12228260869565218</v>
      </c>
      <c r="F162" s="4">
        <f t="shared" si="9"/>
        <v>99.372282608695656</v>
      </c>
      <c r="G162" s="4">
        <f t="shared" si="10"/>
        <v>3.411111111111111</v>
      </c>
      <c r="H162" s="23">
        <f t="shared" si="11"/>
        <v>1.73387327195389E-2</v>
      </c>
      <c r="I162" s="2" cm="1">
        <f t="array" ref="I162">NSprice($L$4,$L$5,$L$6,$L$7,MOD(G162,0.5),(G162-MOD(G162,0.5))*2+1,B162/100,2)</f>
        <v>99.324145685409476</v>
      </c>
    </row>
    <row r="163" spans="1:9" ht="13.8">
      <c r="A163" s="25">
        <v>44985</v>
      </c>
      <c r="B163" s="28">
        <v>2.625</v>
      </c>
      <c r="C163" s="27">
        <v>103.15600000000001</v>
      </c>
      <c r="D163" s="26">
        <v>1.571</v>
      </c>
      <c r="E163" s="4">
        <f t="shared" si="8"/>
        <v>0.2139945652173913</v>
      </c>
      <c r="F163" s="4">
        <f t="shared" si="9"/>
        <v>103.3699945652174</v>
      </c>
      <c r="G163" s="4">
        <f t="shared" si="10"/>
        <v>3.411111111111111</v>
      </c>
      <c r="H163" s="23">
        <f t="shared" si="11"/>
        <v>1.73387327195389E-2</v>
      </c>
      <c r="I163" s="2" cm="1">
        <f t="array" ref="I163">NSprice($L$4,$L$5,$L$6,$L$7,MOD(G163,0.5),(G163-MOD(G163,0.5))*2+1,B163/100,2)</f>
        <v>103.12445206924386</v>
      </c>
    </row>
    <row r="164" spans="1:9" ht="13.8">
      <c r="A164" s="25">
        <v>45016</v>
      </c>
      <c r="B164" s="28">
        <v>1.5</v>
      </c>
      <c r="C164" s="27">
        <v>99.254000000000005</v>
      </c>
      <c r="D164" s="26">
        <v>1.56</v>
      </c>
      <c r="E164" s="4">
        <f t="shared" si="8"/>
        <v>0</v>
      </c>
      <c r="F164" s="4">
        <f t="shared" si="9"/>
        <v>99.254000000000005</v>
      </c>
      <c r="G164" s="4">
        <f t="shared" si="10"/>
        <v>3.5</v>
      </c>
      <c r="H164" s="23">
        <f t="shared" si="11"/>
        <v>1.7264857767975653E-2</v>
      </c>
      <c r="I164" s="2" cm="1">
        <f t="array" ref="I164">NSprice($L$4,$L$5,$L$6,$L$7,MOD(G164,0.5),(G164-MOD(G164,0.5))*2+1,B164/100,2)</f>
        <v>99.945778159240547</v>
      </c>
    </row>
    <row r="165" spans="1:9" ht="13.8">
      <c r="A165" s="25">
        <v>45016</v>
      </c>
      <c r="B165" s="28">
        <v>2.5</v>
      </c>
      <c r="C165" s="27">
        <v>103.054</v>
      </c>
      <c r="D165" s="26">
        <v>1.5649999999999999</v>
      </c>
      <c r="E165" s="4">
        <f t="shared" si="8"/>
        <v>0</v>
      </c>
      <c r="F165" s="4">
        <f t="shared" si="9"/>
        <v>103.054</v>
      </c>
      <c r="G165" s="4">
        <f t="shared" si="10"/>
        <v>3.5</v>
      </c>
      <c r="H165" s="23">
        <f t="shared" si="11"/>
        <v>1.7264857767975653E-2</v>
      </c>
      <c r="I165" s="2" cm="1">
        <f t="array" ref="I165">NSprice($L$4,$L$5,$L$6,$L$7,MOD(G165,0.5),(G165-MOD(G165,0.5))*2+1,B165/100,2)</f>
        <v>103.81879800459681</v>
      </c>
    </row>
    <row r="166" spans="1:9" ht="13.8">
      <c r="A166" s="25">
        <v>45046</v>
      </c>
      <c r="B166" s="28">
        <v>1.625</v>
      </c>
      <c r="C166" s="27">
        <v>100.05</v>
      </c>
      <c r="D166" s="26">
        <v>1.58</v>
      </c>
      <c r="E166" s="4">
        <f t="shared" si="8"/>
        <v>0.67930327868852458</v>
      </c>
      <c r="F166" s="4">
        <f t="shared" si="9"/>
        <v>100.72930327868852</v>
      </c>
      <c r="G166" s="4">
        <f t="shared" si="10"/>
        <v>3.5833333333333335</v>
      </c>
      <c r="H166" s="23">
        <f t="shared" si="11"/>
        <v>1.7198669819531637E-2</v>
      </c>
      <c r="I166" s="2" cm="1">
        <f t="array" ref="I166">NSprice($L$4,$L$5,$L$6,$L$7,MOD(G166,0.5),(G166-MOD(G166,0.5))*2+1,B166/100,2)</f>
        <v>100.30770093788234</v>
      </c>
    </row>
    <row r="167" spans="1:9" ht="13.8">
      <c r="A167" s="25">
        <v>45046</v>
      </c>
      <c r="B167" s="28">
        <v>2.75</v>
      </c>
      <c r="C167" s="27">
        <v>104.026</v>
      </c>
      <c r="D167" s="26">
        <v>1.5720000000000001</v>
      </c>
      <c r="E167" s="4">
        <f t="shared" si="8"/>
        <v>1.1495901639344264</v>
      </c>
      <c r="F167" s="4">
        <f t="shared" si="9"/>
        <v>105.17559016393442</v>
      </c>
      <c r="G167" s="4">
        <f t="shared" si="10"/>
        <v>3.5833333333333335</v>
      </c>
      <c r="H167" s="23">
        <f t="shared" si="11"/>
        <v>1.7198669819531637E-2</v>
      </c>
      <c r="I167" s="2" cm="1">
        <f t="array" ref="I167">NSprice($L$4,$L$5,$L$6,$L$7,MOD(G167,0.5),(G167-MOD(G167,0.5))*2+1,B167/100,2)</f>
        <v>104.65850545161308</v>
      </c>
    </row>
    <row r="168" spans="1:9" ht="13.8">
      <c r="A168" s="25">
        <v>45061</v>
      </c>
      <c r="B168" s="28">
        <v>1.75</v>
      </c>
      <c r="C168" s="27">
        <v>100.19</v>
      </c>
      <c r="D168" s="26">
        <v>1.581</v>
      </c>
      <c r="E168" s="4">
        <f t="shared" si="8"/>
        <v>0.65625</v>
      </c>
      <c r="F168" s="4">
        <f t="shared" si="9"/>
        <v>100.84625</v>
      </c>
      <c r="G168" s="4">
        <f t="shared" si="10"/>
        <v>3.625</v>
      </c>
      <c r="H168" s="23">
        <f t="shared" si="11"/>
        <v>1.71666658621514E-2</v>
      </c>
      <c r="I168" s="2" cm="1">
        <f t="array" ref="I168">NSprice($L$4,$L$5,$L$6,$L$7,MOD(G168,0.5),(G168-MOD(G168,0.5))*2+1,B168/100,2)</f>
        <v>100.72979098390039</v>
      </c>
    </row>
    <row r="169" spans="1:9" ht="13.8">
      <c r="A169" s="25">
        <v>45077</v>
      </c>
      <c r="B169" s="28">
        <v>1.625</v>
      </c>
      <c r="C169" s="27">
        <v>100.06399999999999</v>
      </c>
      <c r="D169" s="26">
        <v>1.5680000000000001</v>
      </c>
      <c r="E169" s="4">
        <f t="shared" si="8"/>
        <v>0.54166666666666663</v>
      </c>
      <c r="F169" s="4">
        <f t="shared" si="9"/>
        <v>100.60566666666666</v>
      </c>
      <c r="G169" s="4">
        <f t="shared" si="10"/>
        <v>3.6666666666666665</v>
      </c>
      <c r="H169" s="23">
        <f t="shared" si="11"/>
        <v>1.7135376315258192E-2</v>
      </c>
      <c r="I169" s="2" cm="1">
        <f t="array" ref="I169">NSprice($L$4,$L$5,$L$6,$L$7,MOD(G169,0.5),(G169-MOD(G169,0.5))*2+1,B169/100,2)</f>
        <v>100.18580301652118</v>
      </c>
    </row>
    <row r="170" spans="1:9" ht="13.8">
      <c r="A170" s="25">
        <v>45077</v>
      </c>
      <c r="B170" s="28">
        <v>2.75</v>
      </c>
      <c r="C170" s="27">
        <v>104.056</v>
      </c>
      <c r="D170" s="26">
        <v>1.571</v>
      </c>
      <c r="E170" s="4">
        <f t="shared" si="8"/>
        <v>0.91666666666666663</v>
      </c>
      <c r="F170" s="4">
        <f t="shared" si="9"/>
        <v>104.97266666666667</v>
      </c>
      <c r="G170" s="4">
        <f t="shared" si="10"/>
        <v>3.6666666666666665</v>
      </c>
      <c r="H170" s="23">
        <f t="shared" si="11"/>
        <v>1.7135376315258192E-2</v>
      </c>
      <c r="I170" s="2" cm="1">
        <f t="array" ref="I170">NSprice($L$4,$L$5,$L$6,$L$7,MOD(G170,0.5),(G170-MOD(G170,0.5))*2+1,B170/100,2)</f>
        <v>104.53035592627361</v>
      </c>
    </row>
    <row r="171" spans="1:9" ht="13.8">
      <c r="A171" s="25">
        <v>45107</v>
      </c>
      <c r="B171" s="28">
        <v>1.375</v>
      </c>
      <c r="C171" s="27">
        <v>99.085999999999999</v>
      </c>
      <c r="D171" s="26">
        <v>1.575</v>
      </c>
      <c r="E171" s="4">
        <f t="shared" si="8"/>
        <v>0.34562841530054644</v>
      </c>
      <c r="F171" s="4">
        <f t="shared" si="9"/>
        <v>99.431628415300551</v>
      </c>
      <c r="G171" s="4">
        <f t="shared" si="10"/>
        <v>3.75</v>
      </c>
      <c r="H171" s="23">
        <f t="shared" si="11"/>
        <v>1.7074904273034822E-2</v>
      </c>
      <c r="I171" s="2" cm="1">
        <f t="array" ref="I171">NSprice($L$4,$L$5,$L$6,$L$7,MOD(G171,0.5),(G171-MOD(G171,0.5))*2+1,B171/100,2)</f>
        <v>99.10007586241683</v>
      </c>
    </row>
    <row r="172" spans="1:9" ht="13.8">
      <c r="A172" s="25">
        <v>45107</v>
      </c>
      <c r="B172" s="28">
        <v>2.625</v>
      </c>
      <c r="C172" s="27">
        <v>103.262</v>
      </c>
      <c r="D172" s="26">
        <v>1.571</v>
      </c>
      <c r="E172" s="4">
        <f t="shared" si="8"/>
        <v>0.6598360655737705</v>
      </c>
      <c r="F172" s="4">
        <f t="shared" si="9"/>
        <v>103.92183606557377</v>
      </c>
      <c r="G172" s="4">
        <f t="shared" si="10"/>
        <v>3.75</v>
      </c>
      <c r="H172" s="23">
        <f t="shared" si="11"/>
        <v>1.7074904273034822E-2</v>
      </c>
      <c r="I172" s="2" cm="1">
        <f t="array" ref="I172">NSprice($L$4,$L$5,$L$6,$L$7,MOD(G172,0.5),(G172-MOD(G172,0.5))*2+1,B172/100,2)</f>
        <v>103.92050627884736</v>
      </c>
    </row>
    <row r="173" spans="1:9" ht="13.8">
      <c r="A173" s="25">
        <v>45138</v>
      </c>
      <c r="B173" s="28">
        <v>1.25</v>
      </c>
      <c r="C173" s="27">
        <v>98.26</v>
      </c>
      <c r="D173" s="26">
        <v>1.57</v>
      </c>
      <c r="E173" s="4">
        <f t="shared" si="8"/>
        <v>0.20720108695652173</v>
      </c>
      <c r="F173" s="4">
        <f t="shared" si="9"/>
        <v>98.467201086956521</v>
      </c>
      <c r="G173" s="4">
        <f t="shared" si="10"/>
        <v>3.8333333333333335</v>
      </c>
      <c r="H173" s="23">
        <f t="shared" si="11"/>
        <v>1.7017182352378479E-2</v>
      </c>
      <c r="I173" s="2" cm="1">
        <f t="array" ref="I173">NSprice($L$4,$L$5,$L$6,$L$7,MOD(G173,0.5),(G173-MOD(G173,0.5))*2+1,B173/100,2)</f>
        <v>98.498628981246526</v>
      </c>
    </row>
    <row r="174" spans="1:9" ht="13.8">
      <c r="A174" s="25">
        <v>45138</v>
      </c>
      <c r="B174" s="28">
        <v>2.75</v>
      </c>
      <c r="C174" s="27">
        <v>104.11199999999999</v>
      </c>
      <c r="D174" s="26">
        <v>1.575</v>
      </c>
      <c r="E174" s="4">
        <f t="shared" si="8"/>
        <v>0.45584239130434778</v>
      </c>
      <c r="F174" s="4">
        <f t="shared" si="9"/>
        <v>104.56784239130434</v>
      </c>
      <c r="G174" s="4">
        <f t="shared" si="10"/>
        <v>3.8333333333333335</v>
      </c>
      <c r="H174" s="23">
        <f t="shared" si="11"/>
        <v>1.7017182352378479E-2</v>
      </c>
      <c r="I174" s="2" cm="1">
        <f t="array" ref="I174">NSprice($L$4,$L$5,$L$6,$L$7,MOD(G174,0.5),(G174-MOD(G174,0.5))*2+1,B174/100,2)</f>
        <v>104.27503293359486</v>
      </c>
    </row>
    <row r="175" spans="1:9" ht="13.8">
      <c r="A175" s="25">
        <v>45153</v>
      </c>
      <c r="B175" s="28">
        <v>2.5</v>
      </c>
      <c r="C175" s="27">
        <v>103.16</v>
      </c>
      <c r="D175" s="26">
        <v>1.5649999999999999</v>
      </c>
      <c r="E175" s="4">
        <f t="shared" si="8"/>
        <v>0.3125</v>
      </c>
      <c r="F175" s="4">
        <f t="shared" si="9"/>
        <v>103.4725</v>
      </c>
      <c r="G175" s="4">
        <f t="shared" si="10"/>
        <v>3.875</v>
      </c>
      <c r="H175" s="23">
        <f t="shared" si="11"/>
        <v>1.6989330833908026E-2</v>
      </c>
      <c r="I175" s="2" cm="1">
        <f t="array" ref="I175">NSprice($L$4,$L$5,$L$6,$L$7,MOD(G175,0.5),(G175-MOD(G175,0.5))*2+1,B175/100,2)</f>
        <v>103.2493033567043</v>
      </c>
    </row>
    <row r="176" spans="1:9" ht="13.8">
      <c r="A176" s="25">
        <v>45153</v>
      </c>
      <c r="B176" s="28">
        <v>6.25</v>
      </c>
      <c r="C176" s="27">
        <v>117.17400000000001</v>
      </c>
      <c r="D176" s="26">
        <v>1.5620000000000001</v>
      </c>
      <c r="E176" s="4">
        <f t="shared" si="8"/>
        <v>0.78125</v>
      </c>
      <c r="F176" s="4">
        <f t="shared" si="9"/>
        <v>117.95525000000001</v>
      </c>
      <c r="G176" s="4">
        <f t="shared" si="10"/>
        <v>3.875</v>
      </c>
      <c r="H176" s="23">
        <f t="shared" si="11"/>
        <v>1.6989330833908026E-2</v>
      </c>
      <c r="I176" s="2" cm="1">
        <f t="array" ref="I176">NSprice($L$4,$L$5,$L$6,$L$7,MOD(G176,0.5),(G176-MOD(G176,0.5))*2+1,B176/100,2)</f>
        <v>117.6802689801381</v>
      </c>
    </row>
    <row r="177" spans="1:9" ht="13.8">
      <c r="A177" s="25">
        <v>45169</v>
      </c>
      <c r="B177" s="28">
        <v>1.375</v>
      </c>
      <c r="C177" s="27">
        <v>99.091999999999999</v>
      </c>
      <c r="D177" s="26">
        <v>1.5629999999999999</v>
      </c>
      <c r="E177" s="4">
        <f t="shared" si="8"/>
        <v>0.11209239130434782</v>
      </c>
      <c r="F177" s="4">
        <f t="shared" si="9"/>
        <v>99.204092391304343</v>
      </c>
      <c r="G177" s="4">
        <f t="shared" si="10"/>
        <v>3.9166666666666665</v>
      </c>
      <c r="H177" s="23">
        <f t="shared" si="11"/>
        <v>1.6962140819095819E-2</v>
      </c>
      <c r="I177" s="2" cm="1">
        <f t="array" ref="I177">NSprice($L$4,$L$5,$L$6,$L$7,MOD(G177,0.5),(G177-MOD(G177,0.5))*2+1,B177/100,2)</f>
        <v>98.86006256227256</v>
      </c>
    </row>
    <row r="178" spans="1:9" ht="13.8">
      <c r="A178" s="25">
        <v>45169</v>
      </c>
      <c r="B178" s="28">
        <v>2.75</v>
      </c>
      <c r="C178" s="27">
        <v>104.154</v>
      </c>
      <c r="D178" s="26">
        <v>1.5640000000000001</v>
      </c>
      <c r="E178" s="4">
        <f t="shared" si="8"/>
        <v>0.22418478260869565</v>
      </c>
      <c r="F178" s="4">
        <f t="shared" si="9"/>
        <v>104.3781847826087</v>
      </c>
      <c r="G178" s="4">
        <f t="shared" si="10"/>
        <v>3.9166666666666665</v>
      </c>
      <c r="H178" s="23">
        <f t="shared" si="11"/>
        <v>1.6962140819095819E-2</v>
      </c>
      <c r="I178" s="2" cm="1">
        <f t="array" ref="I178">NSprice($L$4,$L$5,$L$6,$L$7,MOD(G178,0.5),(G178-MOD(G178,0.5))*2+1,B178/100,2)</f>
        <v>104.14775635515241</v>
      </c>
    </row>
    <row r="179" spans="1:9" ht="13.8">
      <c r="A179" s="25">
        <v>45199</v>
      </c>
      <c r="B179" s="28">
        <v>1.375</v>
      </c>
      <c r="C179" s="27">
        <v>99.085999999999999</v>
      </c>
      <c r="D179" s="26">
        <v>1.5629999999999999</v>
      </c>
      <c r="E179" s="4">
        <f t="shared" si="8"/>
        <v>0</v>
      </c>
      <c r="F179" s="4">
        <f t="shared" si="9"/>
        <v>99.085999999999999</v>
      </c>
      <c r="G179" s="4">
        <f t="shared" si="10"/>
        <v>4</v>
      </c>
      <c r="H179" s="23">
        <f t="shared" si="11"/>
        <v>1.6909711510680429E-2</v>
      </c>
      <c r="I179" s="2" cm="1">
        <f t="array" ref="I179">NSprice($L$4,$L$5,$L$6,$L$7,MOD(G179,0.5),(G179-MOD(G179,0.5))*2+1,B179/100,2)</f>
        <v>99.427733013554047</v>
      </c>
    </row>
    <row r="180" spans="1:9" ht="13.8">
      <c r="A180" s="25">
        <v>45199</v>
      </c>
      <c r="B180" s="28">
        <v>2.875</v>
      </c>
      <c r="C180" s="27">
        <v>105.012</v>
      </c>
      <c r="D180" s="26">
        <v>1.57</v>
      </c>
      <c r="E180" s="4">
        <f t="shared" si="8"/>
        <v>0</v>
      </c>
      <c r="F180" s="4">
        <f t="shared" si="9"/>
        <v>105.012</v>
      </c>
      <c r="G180" s="4">
        <f t="shared" si="10"/>
        <v>4</v>
      </c>
      <c r="H180" s="23">
        <f t="shared" si="11"/>
        <v>1.6909711510680429E-2</v>
      </c>
      <c r="I180" s="2" cm="1">
        <f t="array" ref="I180">NSprice($L$4,$L$5,$L$6,$L$7,MOD(G180,0.5),(G180-MOD(G180,0.5))*2+1,B180/100,2)</f>
        <v>105.93821124137385</v>
      </c>
    </row>
    <row r="181" spans="1:9" ht="13.8">
      <c r="A181" s="25">
        <v>45230</v>
      </c>
      <c r="B181" s="28">
        <v>1.625</v>
      </c>
      <c r="C181" s="27">
        <v>100.07599999999999</v>
      </c>
      <c r="D181" s="26">
        <v>1.5629999999999999</v>
      </c>
      <c r="E181" s="4">
        <f t="shared" si="8"/>
        <v>0.67930327868852458</v>
      </c>
      <c r="F181" s="4">
        <f t="shared" si="9"/>
        <v>100.75530327868852</v>
      </c>
      <c r="G181" s="4">
        <f t="shared" si="10"/>
        <v>4.083333333333333</v>
      </c>
      <c r="H181" s="23">
        <f t="shared" si="11"/>
        <v>1.6859827802439581E-2</v>
      </c>
      <c r="I181" s="2" cm="1">
        <f t="array" ref="I181">NSprice($L$4,$L$5,$L$6,$L$7,MOD(G181,0.5),(G181-MOD(G181,0.5))*2+1,B181/100,2)</f>
        <v>100.39014274822759</v>
      </c>
    </row>
    <row r="182" spans="1:9" ht="13.8">
      <c r="A182" s="25">
        <v>45230</v>
      </c>
      <c r="B182" s="28">
        <v>2.875</v>
      </c>
      <c r="C182" s="27">
        <v>105.05200000000001</v>
      </c>
      <c r="D182" s="26">
        <v>1.5640000000000001</v>
      </c>
      <c r="E182" s="4">
        <f t="shared" si="8"/>
        <v>1.201844262295082</v>
      </c>
      <c r="F182" s="4">
        <f t="shared" si="9"/>
        <v>106.25384426229509</v>
      </c>
      <c r="G182" s="4">
        <f t="shared" si="10"/>
        <v>4.083333333333333</v>
      </c>
      <c r="H182" s="23">
        <f t="shared" si="11"/>
        <v>1.6859827802439581E-2</v>
      </c>
      <c r="I182" s="2" cm="1">
        <f t="array" ref="I182">NSprice($L$4,$L$5,$L$6,$L$7,MOD(G182,0.5),(G182-MOD(G182,0.5))*2+1,B182/100,2)</f>
        <v>105.80778999401061</v>
      </c>
    </row>
    <row r="183" spans="1:9" ht="13.8">
      <c r="A183" s="25">
        <v>45245</v>
      </c>
      <c r="B183" s="28">
        <v>2.75</v>
      </c>
      <c r="C183" s="27">
        <v>104.22</v>
      </c>
      <c r="D183" s="26">
        <v>1.571</v>
      </c>
      <c r="E183" s="4">
        <f t="shared" si="8"/>
        <v>1.03125</v>
      </c>
      <c r="F183" s="4">
        <f t="shared" si="9"/>
        <v>105.25125</v>
      </c>
      <c r="G183" s="4">
        <f t="shared" si="10"/>
        <v>4.125</v>
      </c>
      <c r="H183" s="23">
        <f t="shared" si="11"/>
        <v>1.6835820140489458E-2</v>
      </c>
      <c r="I183" s="2" cm="1">
        <f t="array" ref="I183">NSprice($L$4,$L$5,$L$6,$L$7,MOD(G183,0.5),(G183-MOD(G183,0.5))*2+1,B183/100,2)</f>
        <v>105.20126860167632</v>
      </c>
    </row>
    <row r="184" spans="1:9" ht="13.8">
      <c r="A184" s="25">
        <v>45260</v>
      </c>
      <c r="B184" s="28">
        <v>2.125</v>
      </c>
      <c r="C184" s="27">
        <v>102.066</v>
      </c>
      <c r="D184" s="26">
        <v>1.5740000000000001</v>
      </c>
      <c r="E184" s="4">
        <f t="shared" si="8"/>
        <v>0.70833333333333326</v>
      </c>
      <c r="F184" s="4">
        <f t="shared" si="9"/>
        <v>102.77433333333333</v>
      </c>
      <c r="G184" s="4">
        <f t="shared" si="10"/>
        <v>4.166666666666667</v>
      </c>
      <c r="H184" s="23">
        <f t="shared" si="11"/>
        <v>1.6812424574335346E-2</v>
      </c>
      <c r="I184" s="2" cm="1">
        <f t="array" ref="I184">NSprice($L$4,$L$5,$L$6,$L$7,MOD(G184,0.5),(G184-MOD(G184,0.5))*2+1,B184/100,2)</f>
        <v>102.43155006782511</v>
      </c>
    </row>
    <row r="185" spans="1:9" ht="13.8">
      <c r="A185" s="25">
        <v>45260</v>
      </c>
      <c r="B185" s="28">
        <v>2.875</v>
      </c>
      <c r="C185" s="27">
        <v>105.08199999999999</v>
      </c>
      <c r="D185" s="26">
        <v>1.5660000000000001</v>
      </c>
      <c r="E185" s="4">
        <f t="shared" si="8"/>
        <v>0.95833333333333326</v>
      </c>
      <c r="F185" s="4">
        <f t="shared" si="9"/>
        <v>106.04033333333332</v>
      </c>
      <c r="G185" s="4">
        <f t="shared" si="10"/>
        <v>4.166666666666667</v>
      </c>
      <c r="H185" s="23">
        <f t="shared" si="11"/>
        <v>1.6812424574335346E-2</v>
      </c>
      <c r="I185" s="2" cm="1">
        <f t="array" ref="I185">NSprice($L$4,$L$5,$L$6,$L$7,MOD(G185,0.5),(G185-MOD(G185,0.5))*2+1,B185/100,2)</f>
        <v>105.67754825632825</v>
      </c>
    </row>
    <row r="186" spans="1:9" ht="13.8">
      <c r="A186" s="25">
        <v>45291</v>
      </c>
      <c r="B186" s="28">
        <v>2.25</v>
      </c>
      <c r="C186" s="27">
        <v>102.246</v>
      </c>
      <c r="D186" s="26">
        <v>1.5720000000000001</v>
      </c>
      <c r="E186" s="4">
        <f t="shared" si="8"/>
        <v>0.56557377049180324</v>
      </c>
      <c r="F186" s="4">
        <f t="shared" si="9"/>
        <v>102.8115737704918</v>
      </c>
      <c r="G186" s="4">
        <f t="shared" si="10"/>
        <v>4.25</v>
      </c>
      <c r="H186" s="23">
        <f t="shared" si="11"/>
        <v>1.6767438178525093E-2</v>
      </c>
      <c r="I186" s="2" cm="1">
        <f t="array" ref="I186">NSprice($L$4,$L$5,$L$6,$L$7,MOD(G186,0.5),(G186-MOD(G186,0.5))*2+1,B186/100,2)</f>
        <v>102.84621948703115</v>
      </c>
    </row>
    <row r="187" spans="1:9" ht="13.8">
      <c r="A187" s="25">
        <v>45291</v>
      </c>
      <c r="B187" s="28">
        <v>2.625</v>
      </c>
      <c r="C187" s="27">
        <v>104.104</v>
      </c>
      <c r="D187" s="26">
        <v>1.5620000000000001</v>
      </c>
      <c r="E187" s="4">
        <f t="shared" si="8"/>
        <v>0.6598360655737705</v>
      </c>
      <c r="F187" s="4">
        <f t="shared" si="9"/>
        <v>104.76383606557377</v>
      </c>
      <c r="G187" s="4">
        <f t="shared" si="10"/>
        <v>4.25</v>
      </c>
      <c r="H187" s="23">
        <f t="shared" si="11"/>
        <v>1.6767438178525093E-2</v>
      </c>
      <c r="I187" s="2" cm="1">
        <f t="array" ref="I187">NSprice($L$4,$L$5,$L$6,$L$7,MOD(G187,0.5),(G187-MOD(G187,0.5))*2+1,B187/100,2)</f>
        <v>104.46695203236351</v>
      </c>
    </row>
    <row r="188" spans="1:9" ht="13.8">
      <c r="A188" s="25">
        <v>45322</v>
      </c>
      <c r="B188" s="28">
        <v>2.5</v>
      </c>
      <c r="C188" s="27">
        <v>103.29</v>
      </c>
      <c r="D188" s="26">
        <v>1.5640000000000001</v>
      </c>
      <c r="E188" s="4">
        <f t="shared" si="8"/>
        <v>0.41440217391304346</v>
      </c>
      <c r="F188" s="4">
        <f t="shared" si="9"/>
        <v>103.70440217391305</v>
      </c>
      <c r="G188" s="4">
        <f t="shared" si="10"/>
        <v>4.333333333333333</v>
      </c>
      <c r="H188" s="23">
        <f t="shared" si="11"/>
        <v>1.6724806407586945E-2</v>
      </c>
      <c r="I188" s="2" cm="1">
        <f t="array" ref="I188">NSprice($L$4,$L$5,$L$6,$L$7,MOD(G188,0.5),(G188-MOD(G188,0.5))*2+1,B188/100,2)</f>
        <v>103.79893002883989</v>
      </c>
    </row>
    <row r="189" spans="1:9" ht="13.8">
      <c r="A189" s="25">
        <v>45337</v>
      </c>
      <c r="B189" s="28">
        <v>2.75</v>
      </c>
      <c r="C189" s="27">
        <v>104.31399999999999</v>
      </c>
      <c r="D189" s="26">
        <v>1.5660000000000001</v>
      </c>
      <c r="E189" s="4">
        <f t="shared" si="8"/>
        <v>0.34375</v>
      </c>
      <c r="F189" s="4">
        <f t="shared" si="9"/>
        <v>104.65774999999999</v>
      </c>
      <c r="G189" s="4">
        <f t="shared" si="10"/>
        <v>4.375</v>
      </c>
      <c r="H189" s="23">
        <f t="shared" si="11"/>
        <v>1.6704354452822562E-2</v>
      </c>
      <c r="I189" s="2" cm="1">
        <f t="array" ref="I189">NSprice($L$4,$L$5,$L$6,$L$7,MOD(G189,0.5),(G189-MOD(G189,0.5))*2+1,B189/100,2)</f>
        <v>104.81330738010513</v>
      </c>
    </row>
    <row r="190" spans="1:9" ht="13.8">
      <c r="A190" s="25">
        <v>45351</v>
      </c>
      <c r="B190" s="28">
        <v>2.125</v>
      </c>
      <c r="C190" s="27">
        <v>102.126</v>
      </c>
      <c r="D190" s="26">
        <v>1.5609999999999999</v>
      </c>
      <c r="E190" s="4">
        <f t="shared" si="8"/>
        <v>0.17323369565217392</v>
      </c>
      <c r="F190" s="4">
        <f t="shared" si="9"/>
        <v>102.29923369565218</v>
      </c>
      <c r="G190" s="4">
        <f t="shared" si="10"/>
        <v>4.4138888888888888</v>
      </c>
      <c r="H190" s="23">
        <f t="shared" si="11"/>
        <v>1.6685776736740213E-2</v>
      </c>
      <c r="I190" s="2" cm="1">
        <f t="array" ref="I190">NSprice($L$4,$L$5,$L$6,$L$7,MOD(G190,0.5),(G190-MOD(G190,0.5))*2+1,B190/100,2)</f>
        <v>102.05908256522062</v>
      </c>
    </row>
    <row r="191" spans="1:9" ht="13.8">
      <c r="A191" s="25">
        <v>45351</v>
      </c>
      <c r="B191" s="28">
        <v>2.375</v>
      </c>
      <c r="C191" s="27">
        <v>103.154</v>
      </c>
      <c r="D191" s="26">
        <v>1.5549999999999999</v>
      </c>
      <c r="E191" s="4">
        <f t="shared" si="8"/>
        <v>0.19361413043478262</v>
      </c>
      <c r="F191" s="4">
        <f t="shared" si="9"/>
        <v>103.34761413043478</v>
      </c>
      <c r="G191" s="4">
        <f t="shared" si="10"/>
        <v>4.4138888888888888</v>
      </c>
      <c r="H191" s="23">
        <f t="shared" si="11"/>
        <v>1.6685776736740213E-2</v>
      </c>
      <c r="I191" s="2" cm="1">
        <f t="array" ref="I191">NSprice($L$4,$L$5,$L$6,$L$7,MOD(G191,0.5),(G191-MOD(G191,0.5))*2+1,B191/100,2)</f>
        <v>103.13665037335051</v>
      </c>
    </row>
    <row r="192" spans="1:9" ht="13.8">
      <c r="A192" s="25">
        <v>45382</v>
      </c>
      <c r="B192" s="28">
        <v>2.125</v>
      </c>
      <c r="C192" s="27">
        <v>102.142</v>
      </c>
      <c r="D192" s="26">
        <v>1.56</v>
      </c>
      <c r="E192" s="4">
        <f t="shared" si="8"/>
        <v>0</v>
      </c>
      <c r="F192" s="4">
        <f t="shared" si="9"/>
        <v>102.142</v>
      </c>
      <c r="G192" s="4">
        <f t="shared" si="10"/>
        <v>4.5</v>
      </c>
      <c r="H192" s="23">
        <f t="shared" si="11"/>
        <v>1.6646364926775421E-2</v>
      </c>
      <c r="I192" s="2" cm="1">
        <f t="array" ref="I192">NSprice($L$4,$L$5,$L$6,$L$7,MOD(G192,0.5),(G192-MOD(G192,0.5))*2+1,B192/100,2)</f>
        <v>102.99181968482139</v>
      </c>
    </row>
    <row r="193" spans="1:9" ht="13.8">
      <c r="A193" s="25">
        <v>45412</v>
      </c>
      <c r="B193" s="28">
        <v>2</v>
      </c>
      <c r="C193" s="27">
        <v>101.29600000000001</v>
      </c>
      <c r="D193" s="26">
        <v>1.5620000000000001</v>
      </c>
      <c r="E193" s="4">
        <f t="shared" si="8"/>
        <v>0.83606557377049184</v>
      </c>
      <c r="F193" s="4">
        <f t="shared" si="9"/>
        <v>102.1320655737705</v>
      </c>
      <c r="G193" s="4">
        <f t="shared" si="10"/>
        <v>4.583333333333333</v>
      </c>
      <c r="H193" s="23">
        <f t="shared" si="11"/>
        <v>1.6610437727495164E-2</v>
      </c>
      <c r="I193" s="2" cm="1">
        <f t="array" ref="I193">NSprice($L$4,$L$5,$L$6,$L$7,MOD(G193,0.5),(G193-MOD(G193,0.5))*2+1,B193/100,2)</f>
        <v>102.26439436926096</v>
      </c>
    </row>
    <row r="194" spans="1:9" ht="13.8">
      <c r="A194" s="25">
        <v>45412</v>
      </c>
      <c r="B194" s="28">
        <v>2.25</v>
      </c>
      <c r="C194" s="27">
        <v>103.004</v>
      </c>
      <c r="D194" s="26">
        <v>1.5649999999999999</v>
      </c>
      <c r="E194" s="4">
        <f t="shared" si="8"/>
        <v>0.94057377049180335</v>
      </c>
      <c r="F194" s="4">
        <f t="shared" si="9"/>
        <v>103.94457377049181</v>
      </c>
      <c r="G194" s="4">
        <f t="shared" si="10"/>
        <v>4.583333333333333</v>
      </c>
      <c r="H194" s="23">
        <f t="shared" si="11"/>
        <v>1.6610437727495164E-2</v>
      </c>
      <c r="I194" s="2" cm="1">
        <f t="array" ref="I194">NSprice($L$4,$L$5,$L$6,$L$7,MOD(G194,0.5),(G194-MOD(G194,0.5))*2+1,B194/100,2)</f>
        <v>103.46376064858589</v>
      </c>
    </row>
    <row r="195" spans="1:9" ht="13.8">
      <c r="A195" s="25">
        <v>45427</v>
      </c>
      <c r="B195" s="28">
        <v>2.5</v>
      </c>
      <c r="C195" s="27">
        <v>104.044</v>
      </c>
      <c r="D195" s="26">
        <v>1.5680000000000001</v>
      </c>
      <c r="E195" s="4">
        <f t="shared" si="8"/>
        <v>0.9375</v>
      </c>
      <c r="F195" s="4">
        <f t="shared" si="9"/>
        <v>104.9815</v>
      </c>
      <c r="G195" s="4">
        <f t="shared" si="10"/>
        <v>4.625</v>
      </c>
      <c r="H195" s="23">
        <f t="shared" si="11"/>
        <v>1.6593272469129047E-2</v>
      </c>
      <c r="I195" s="2" cm="1">
        <f t="array" ref="I195">NSprice($L$4,$L$5,$L$6,$L$7,MOD(G195,0.5),(G195-MOD(G195,0.5))*2+1,B195/100,2)</f>
        <v>104.59798030559861</v>
      </c>
    </row>
    <row r="196" spans="1:9" ht="13.8">
      <c r="A196" s="25">
        <v>45443</v>
      </c>
      <c r="B196" s="28">
        <v>2</v>
      </c>
      <c r="C196" s="27">
        <v>102</v>
      </c>
      <c r="D196" s="26">
        <v>1.554</v>
      </c>
      <c r="E196" s="4">
        <f t="shared" si="8"/>
        <v>0.66666666666666663</v>
      </c>
      <c r="F196" s="4">
        <f t="shared" si="9"/>
        <v>102.66666666666667</v>
      </c>
      <c r="G196" s="4">
        <f t="shared" si="10"/>
        <v>4.666666666666667</v>
      </c>
      <c r="H196" s="23">
        <f t="shared" si="11"/>
        <v>1.6576630115293808E-2</v>
      </c>
      <c r="I196" s="2" cm="1">
        <f t="array" ref="I196">NSprice($L$4,$L$5,$L$6,$L$7,MOD(G196,0.5),(G196-MOD(G196,0.5))*2+1,B196/100,2)</f>
        <v>102.13743476923867</v>
      </c>
    </row>
    <row r="197" spans="1:9" ht="13.8">
      <c r="A197" s="25">
        <v>45473</v>
      </c>
      <c r="B197" s="28">
        <v>1.75</v>
      </c>
      <c r="C197" s="27">
        <v>100.27200000000001</v>
      </c>
      <c r="D197" s="26">
        <v>1.5629999999999999</v>
      </c>
      <c r="E197" s="4">
        <f t="shared" ref="E197:E260" si="12">COUPDAYBS($B$2,A197,2,1)/COUPDAYS($B$2,A197,2,1)*(B197/2)</f>
        <v>0.43989071038251365</v>
      </c>
      <c r="F197" s="4">
        <f t="shared" ref="F197:F260" si="13">E197+C197</f>
        <v>100.71189071038252</v>
      </c>
      <c r="G197" s="4">
        <f t="shared" ref="G197:G260" si="14">YEARFRAC($B$2,A197,)</f>
        <v>4.75</v>
      </c>
      <c r="H197" s="23">
        <f t="shared" ref="H197:H260" si="15">$L$4+($L$5+$L$6)*$L$7*(1-EXP(-G197/$L$7))/G197-$L$6*EXP(-G197/$L$7)</f>
        <v>1.6544886631221688E-2</v>
      </c>
      <c r="I197" s="2" cm="1">
        <f t="array" ref="I197">NSprice($L$4,$L$5,$L$6,$L$7,MOD(G197,0.5),(G197-MOD(G197,0.5))*2+1,B197/100,2)</f>
        <v>100.81433767436931</v>
      </c>
    </row>
    <row r="198" spans="1:9" ht="13.8">
      <c r="A198" s="25">
        <v>45473</v>
      </c>
      <c r="B198" s="28">
        <v>2</v>
      </c>
      <c r="C198" s="27">
        <v>101.306</v>
      </c>
      <c r="D198" s="26">
        <v>1.57</v>
      </c>
      <c r="E198" s="4">
        <f t="shared" si="12"/>
        <v>0.50273224043715847</v>
      </c>
      <c r="F198" s="4">
        <f t="shared" si="13"/>
        <v>101.80873224043715</v>
      </c>
      <c r="G198" s="4">
        <f t="shared" si="14"/>
        <v>4.75</v>
      </c>
      <c r="H198" s="23">
        <f t="shared" si="15"/>
        <v>1.6544886631221688E-2</v>
      </c>
      <c r="I198" s="2" cm="1">
        <f t="array" ref="I198">NSprice($L$4,$L$5,$L$6,$L$7,MOD(G198,0.5),(G198-MOD(G198,0.5))*2+1,B198/100,2)</f>
        <v>102.01037860190127</v>
      </c>
    </row>
    <row r="199" spans="1:9" ht="13.8">
      <c r="A199" s="25">
        <v>45504</v>
      </c>
      <c r="B199" s="28">
        <v>1.75</v>
      </c>
      <c r="C199" s="27">
        <v>100.282</v>
      </c>
      <c r="D199" s="26">
        <v>1.5589999999999999</v>
      </c>
      <c r="E199" s="4">
        <f t="shared" si="12"/>
        <v>0.29008152173913043</v>
      </c>
      <c r="F199" s="4">
        <f t="shared" si="13"/>
        <v>100.57208152173912</v>
      </c>
      <c r="G199" s="4">
        <f t="shared" si="14"/>
        <v>4.833333333333333</v>
      </c>
      <c r="H199" s="23">
        <f t="shared" si="15"/>
        <v>1.6515153079705511E-2</v>
      </c>
      <c r="I199" s="2" cm="1">
        <f t="array" ref="I199">NSprice($L$4,$L$5,$L$6,$L$7,MOD(G199,0.5),(G199-MOD(G199,0.5))*2+1,B199/100,2)</f>
        <v>100.68878918646672</v>
      </c>
    </row>
    <row r="200" spans="1:9" ht="13.8">
      <c r="A200" s="25">
        <v>45504</v>
      </c>
      <c r="B200" s="28">
        <v>2.125</v>
      </c>
      <c r="C200" s="27">
        <v>102.18</v>
      </c>
      <c r="D200" s="26">
        <v>1.5720000000000001</v>
      </c>
      <c r="E200" s="4">
        <f t="shared" si="12"/>
        <v>0.35224184782608692</v>
      </c>
      <c r="F200" s="4">
        <f t="shared" si="13"/>
        <v>102.5322418478261</v>
      </c>
      <c r="G200" s="4">
        <f t="shared" si="14"/>
        <v>4.833333333333333</v>
      </c>
      <c r="H200" s="23">
        <f t="shared" si="15"/>
        <v>1.6515153079705511E-2</v>
      </c>
      <c r="I200" s="2" cm="1">
        <f t="array" ref="I200">NSprice($L$4,$L$5,$L$6,$L$7,MOD(G200,0.5),(G200-MOD(G200,0.5))*2+1,B200/100,2)</f>
        <v>102.48039692014257</v>
      </c>
    </row>
    <row r="201" spans="1:9" ht="13.8">
      <c r="A201" s="25">
        <v>45519</v>
      </c>
      <c r="B201" s="28">
        <v>2.375</v>
      </c>
      <c r="C201" s="27">
        <v>103.236</v>
      </c>
      <c r="D201" s="26">
        <v>1.5740000000000001</v>
      </c>
      <c r="E201" s="4">
        <f t="shared" si="12"/>
        <v>0.296875</v>
      </c>
      <c r="F201" s="4">
        <f t="shared" si="13"/>
        <v>103.532875</v>
      </c>
      <c r="G201" s="4">
        <f t="shared" si="14"/>
        <v>4.875</v>
      </c>
      <c r="H201" s="23">
        <f t="shared" si="15"/>
        <v>1.6501023431247722E-2</v>
      </c>
      <c r="I201" s="2" cm="1">
        <f t="array" ref="I201">NSprice($L$4,$L$5,$L$6,$L$7,MOD(G201,0.5),(G201-MOD(G201,0.5))*2+1,B201/100,2)</f>
        <v>103.609935009156</v>
      </c>
    </row>
    <row r="202" spans="1:9" ht="13.8">
      <c r="A202" s="25">
        <v>45535</v>
      </c>
      <c r="B202" s="28">
        <v>1.25</v>
      </c>
      <c r="C202" s="27">
        <v>98.194000000000003</v>
      </c>
      <c r="D202" s="26">
        <v>1.5449999999999999</v>
      </c>
      <c r="E202" s="4">
        <f t="shared" si="12"/>
        <v>0.10190217391304349</v>
      </c>
      <c r="F202" s="4">
        <f t="shared" si="13"/>
        <v>98.295902173913049</v>
      </c>
      <c r="G202" s="4">
        <f t="shared" si="14"/>
        <v>4.916666666666667</v>
      </c>
      <c r="H202" s="23">
        <f t="shared" si="15"/>
        <v>1.6487376501184422E-2</v>
      </c>
      <c r="I202" s="2" cm="1">
        <f t="array" ref="I202">NSprice($L$4,$L$5,$L$6,$L$7,MOD(G202,0.5),(G202-MOD(G202,0.5))*2+1,B202/100,2)</f>
        <v>98.177494612486214</v>
      </c>
    </row>
    <row r="203" spans="1:9" ht="13.8">
      <c r="A203" s="25">
        <v>45535</v>
      </c>
      <c r="B203" s="28">
        <v>1.875</v>
      </c>
      <c r="C203" s="27">
        <v>101.152</v>
      </c>
      <c r="D203" s="26">
        <v>1.5620000000000001</v>
      </c>
      <c r="E203" s="4">
        <f t="shared" si="12"/>
        <v>0.15285326086956522</v>
      </c>
      <c r="F203" s="4">
        <f t="shared" si="13"/>
        <v>101.30485326086956</v>
      </c>
      <c r="G203" s="4">
        <f t="shared" si="14"/>
        <v>4.916666666666667</v>
      </c>
      <c r="H203" s="23">
        <f t="shared" si="15"/>
        <v>1.6487376501184422E-2</v>
      </c>
      <c r="I203" s="2" cm="1">
        <f t="array" ref="I203">NSprice($L$4,$L$5,$L$6,$L$7,MOD(G203,0.5),(G203-MOD(G203,0.5))*2+1,B203/100,2)</f>
        <v>101.15945914347743</v>
      </c>
    </row>
    <row r="204" spans="1:9" ht="13.8">
      <c r="A204" s="25">
        <v>45565</v>
      </c>
      <c r="B204" s="28">
        <v>1.5</v>
      </c>
      <c r="C204" s="27">
        <v>99.242000000000004</v>
      </c>
      <c r="D204" s="26">
        <v>1.5509999999999999</v>
      </c>
      <c r="E204" s="4">
        <f t="shared" si="12"/>
        <v>0</v>
      </c>
      <c r="F204" s="4">
        <f t="shared" si="13"/>
        <v>99.242000000000004</v>
      </c>
      <c r="G204" s="4">
        <f t="shared" si="14"/>
        <v>5</v>
      </c>
      <c r="H204" s="23">
        <f t="shared" si="15"/>
        <v>1.6461505145324497E-2</v>
      </c>
      <c r="I204" s="2" cm="1">
        <f t="array" ref="I204">NSprice($L$4,$L$5,$L$6,$L$7,MOD(G204,0.5),(G204-MOD(G204,0.5))*2+1,B204/100,2)</f>
        <v>99.995959671180202</v>
      </c>
    </row>
    <row r="205" spans="1:9" ht="13.8">
      <c r="A205" s="25">
        <v>45565</v>
      </c>
      <c r="B205" s="28">
        <v>2.125</v>
      </c>
      <c r="C205" s="27">
        <v>102.20399999999999</v>
      </c>
      <c r="D205" s="26">
        <v>1.5740000000000001</v>
      </c>
      <c r="E205" s="4">
        <f t="shared" si="12"/>
        <v>0</v>
      </c>
      <c r="F205" s="4">
        <f t="shared" si="13"/>
        <v>102.20399999999999</v>
      </c>
      <c r="G205" s="4">
        <f t="shared" si="14"/>
        <v>5</v>
      </c>
      <c r="H205" s="23">
        <f t="shared" si="15"/>
        <v>1.6461505145324497E-2</v>
      </c>
      <c r="I205" s="2" cm="1">
        <f t="array" ref="I205">NSprice($L$4,$L$5,$L$6,$L$7,MOD(G205,0.5),(G205-MOD(G205,0.5))*2+1,B205/100,2)</f>
        <v>103.28641422472747</v>
      </c>
    </row>
    <row r="206" spans="1:9" ht="13.8">
      <c r="A206" s="25">
        <v>45596</v>
      </c>
      <c r="B206" s="28">
        <v>2.25</v>
      </c>
      <c r="C206" s="27">
        <v>103.092</v>
      </c>
      <c r="D206" s="26">
        <v>1.5740000000000001</v>
      </c>
      <c r="E206" s="4">
        <f t="shared" si="12"/>
        <v>0.94057377049180335</v>
      </c>
      <c r="F206" s="4">
        <f t="shared" si="13"/>
        <v>104.03257377049181</v>
      </c>
      <c r="G206" s="4">
        <f t="shared" si="14"/>
        <v>5.083333333333333</v>
      </c>
      <c r="H206" s="23">
        <f t="shared" si="15"/>
        <v>1.6437488444799961E-2</v>
      </c>
      <c r="I206" s="2" cm="1">
        <f t="array" ref="I206">NSprice($L$4,$L$5,$L$6,$L$7,MOD(G206,0.5),(G206-MOD(G206,0.5))*2+1,B206/100,2)</f>
        <v>103.81295877082914</v>
      </c>
    </row>
    <row r="207" spans="1:9" ht="13.8">
      <c r="A207" s="25">
        <v>45611</v>
      </c>
      <c r="B207" s="28">
        <v>2.25</v>
      </c>
      <c r="C207" s="27">
        <v>103.09</v>
      </c>
      <c r="D207" s="26">
        <v>1.58</v>
      </c>
      <c r="E207" s="4">
        <f t="shared" si="12"/>
        <v>0.84375</v>
      </c>
      <c r="F207" s="4">
        <f t="shared" si="13"/>
        <v>103.93375</v>
      </c>
      <c r="G207" s="4">
        <f t="shared" si="14"/>
        <v>5.125</v>
      </c>
      <c r="H207" s="23">
        <f t="shared" si="15"/>
        <v>1.642616010515097E-2</v>
      </c>
      <c r="I207" s="2" cm="1">
        <f t="array" ref="I207">NSprice($L$4,$L$5,$L$6,$L$7,MOD(G207,0.5),(G207-MOD(G207,0.5))*2+1,B207/100,2)</f>
        <v>103.74712357790735</v>
      </c>
    </row>
    <row r="208" spans="1:9" ht="13.8">
      <c r="A208" s="25">
        <v>45611</v>
      </c>
      <c r="B208" s="28">
        <v>7.5</v>
      </c>
      <c r="C208" s="27">
        <v>129.036</v>
      </c>
      <c r="D208" s="26">
        <v>1.5620000000000001</v>
      </c>
      <c r="E208" s="4">
        <f t="shared" si="12"/>
        <v>2.8125</v>
      </c>
      <c r="F208" s="4">
        <f t="shared" si="13"/>
        <v>131.8485</v>
      </c>
      <c r="G208" s="4">
        <f t="shared" si="14"/>
        <v>5.125</v>
      </c>
      <c r="H208" s="23">
        <f t="shared" si="15"/>
        <v>1.642616010515097E-2</v>
      </c>
      <c r="I208" s="2" cm="1">
        <f t="array" ref="I208">NSprice($L$4,$L$5,$L$6,$L$7,MOD(G208,0.5),(G208-MOD(G208,0.5))*2+1,B208/100,2)</f>
        <v>131.32927125155345</v>
      </c>
    </row>
    <row r="209" spans="1:9" ht="13.8">
      <c r="A209" s="25">
        <v>45626</v>
      </c>
      <c r="B209" s="28">
        <v>2.125</v>
      </c>
      <c r="C209" s="27">
        <v>102.226</v>
      </c>
      <c r="D209" s="26">
        <v>1.5760000000000001</v>
      </c>
      <c r="E209" s="4">
        <f t="shared" si="12"/>
        <v>0.70833333333333326</v>
      </c>
      <c r="F209" s="4">
        <f t="shared" si="13"/>
        <v>102.93433333333333</v>
      </c>
      <c r="G209" s="4">
        <f t="shared" si="14"/>
        <v>5.166666666666667</v>
      </c>
      <c r="H209" s="23">
        <f t="shared" si="15"/>
        <v>1.6415276989629038E-2</v>
      </c>
      <c r="I209" s="2" cm="1">
        <f t="array" ref="I209">NSprice($L$4,$L$5,$L$6,$L$7,MOD(G209,0.5),(G209-MOD(G209,0.5))*2+1,B209/100,2)</f>
        <v>103.02497743506352</v>
      </c>
    </row>
    <row r="210" spans="1:9" ht="13.8">
      <c r="A210" s="25">
        <v>45657</v>
      </c>
      <c r="B210" s="28">
        <v>2.25</v>
      </c>
      <c r="C210" s="27">
        <v>103.116</v>
      </c>
      <c r="D210" s="26">
        <v>1.579</v>
      </c>
      <c r="E210" s="4">
        <f t="shared" si="12"/>
        <v>0.56557377049180324</v>
      </c>
      <c r="F210" s="4">
        <f t="shared" si="13"/>
        <v>103.68157377049181</v>
      </c>
      <c r="G210" s="4">
        <f t="shared" si="14"/>
        <v>5.25</v>
      </c>
      <c r="H210" s="23">
        <f t="shared" si="15"/>
        <v>1.6394822502052965E-2</v>
      </c>
      <c r="I210" s="2" cm="1">
        <f t="array" ref="I210">NSprice($L$4,$L$5,$L$6,$L$7,MOD(G210,0.5),(G210-MOD(G210,0.5))*2+1,B210/100,2)</f>
        <v>103.5493283061118</v>
      </c>
    </row>
    <row r="211" spans="1:9" ht="13.8">
      <c r="A211" s="25">
        <v>45688</v>
      </c>
      <c r="B211" s="28">
        <v>2.5</v>
      </c>
      <c r="C211" s="27">
        <v>104.21599999999999</v>
      </c>
      <c r="D211" s="26">
        <v>1.581</v>
      </c>
      <c r="E211" s="4">
        <f t="shared" si="12"/>
        <v>0.41440217391304346</v>
      </c>
      <c r="F211" s="4">
        <f t="shared" si="13"/>
        <v>104.63040217391304</v>
      </c>
      <c r="G211" s="4">
        <f t="shared" si="14"/>
        <v>5.333333333333333</v>
      </c>
      <c r="H211" s="23">
        <f t="shared" si="15"/>
        <v>1.6376077811946835E-2</v>
      </c>
      <c r="I211" s="2" cm="1">
        <f t="array" ref="I211">NSprice($L$4,$L$5,$L$6,$L$7,MOD(G211,0.5),(G211-MOD(G211,0.5))*2+1,B211/100,2)</f>
        <v>104.72614145081462</v>
      </c>
    </row>
    <row r="212" spans="1:9" ht="13.8">
      <c r="A212" s="25">
        <v>45703</v>
      </c>
      <c r="B212" s="28">
        <v>2</v>
      </c>
      <c r="C212" s="27">
        <v>102.036</v>
      </c>
      <c r="D212" s="26">
        <v>1.587</v>
      </c>
      <c r="E212" s="4">
        <f t="shared" si="12"/>
        <v>0.25</v>
      </c>
      <c r="F212" s="4">
        <f t="shared" si="13"/>
        <v>102.286</v>
      </c>
      <c r="G212" s="4">
        <f t="shared" si="14"/>
        <v>5.375</v>
      </c>
      <c r="H212" s="23">
        <f t="shared" si="15"/>
        <v>1.6367332197215999E-2</v>
      </c>
      <c r="I212" s="2" cm="1">
        <f t="array" ref="I212">NSprice($L$4,$L$5,$L$6,$L$7,MOD(G212,0.5),(G212-MOD(G212,0.5))*2+1,B212/100,2)</f>
        <v>102.04296338430477</v>
      </c>
    </row>
    <row r="213" spans="1:9" ht="13.8">
      <c r="A213" s="25">
        <v>45703</v>
      </c>
      <c r="B213" s="28">
        <v>7.625</v>
      </c>
      <c r="C213" s="27">
        <v>131.006</v>
      </c>
      <c r="D213" s="26">
        <v>1.579</v>
      </c>
      <c r="E213" s="4">
        <f t="shared" si="12"/>
        <v>0.953125</v>
      </c>
      <c r="F213" s="4">
        <f t="shared" si="13"/>
        <v>131.959125</v>
      </c>
      <c r="G213" s="4">
        <f t="shared" si="14"/>
        <v>5.375</v>
      </c>
      <c r="H213" s="23">
        <f t="shared" si="15"/>
        <v>1.6367332197215999E-2</v>
      </c>
      <c r="I213" s="2" cm="1">
        <f t="array" ref="I213">NSprice($L$4,$L$5,$L$6,$L$7,MOD(G213,0.5),(G213-MOD(G213,0.5))*2+1,B213/100,2)</f>
        <v>131.47446048140563</v>
      </c>
    </row>
    <row r="214" spans="1:9" ht="13.8">
      <c r="A214" s="25">
        <v>45716</v>
      </c>
      <c r="B214" s="28">
        <v>2.75</v>
      </c>
      <c r="C214" s="27">
        <v>106.006</v>
      </c>
      <c r="D214" s="26">
        <v>1.585</v>
      </c>
      <c r="E214" s="4">
        <f t="shared" si="12"/>
        <v>0.22418478260869565</v>
      </c>
      <c r="F214" s="4">
        <f t="shared" si="13"/>
        <v>106.2301847826087</v>
      </c>
      <c r="G214" s="4">
        <f t="shared" si="14"/>
        <v>5.4111111111111114</v>
      </c>
      <c r="H214" s="23">
        <f t="shared" si="15"/>
        <v>1.6360084713151576E-2</v>
      </c>
      <c r="I214" s="2" cm="1">
        <f t="array" ref="I214">NSprice($L$4,$L$5,$L$6,$L$7,MOD(G214,0.5),(G214-MOD(G214,0.5))*2+1,B214/100,2)</f>
        <v>105.9082445311721</v>
      </c>
    </row>
    <row r="215" spans="1:9" ht="13.8">
      <c r="A215" s="25">
        <v>45747</v>
      </c>
      <c r="B215" s="28">
        <v>2.625</v>
      </c>
      <c r="C215" s="27">
        <v>105.136</v>
      </c>
      <c r="D215" s="26">
        <v>1.59</v>
      </c>
      <c r="E215" s="4">
        <f t="shared" si="12"/>
        <v>0</v>
      </c>
      <c r="F215" s="4">
        <f t="shared" si="13"/>
        <v>105.136</v>
      </c>
      <c r="G215" s="4">
        <f t="shared" si="14"/>
        <v>5.5</v>
      </c>
      <c r="H215" s="23">
        <f t="shared" si="15"/>
        <v>1.6343534537913065E-2</v>
      </c>
      <c r="I215" s="2" cm="1">
        <f t="array" ref="I215">NSprice($L$4,$L$5,$L$6,$L$7,MOD(G215,0.5),(G215-MOD(G215,0.5))*2+1,B215/100,2)</f>
        <v>106.42279994619409</v>
      </c>
    </row>
    <row r="216" spans="1:9" ht="13.8">
      <c r="A216" s="25">
        <v>45777</v>
      </c>
      <c r="B216" s="28">
        <v>2.875</v>
      </c>
      <c r="C216" s="27">
        <v>106.262</v>
      </c>
      <c r="D216" s="26">
        <v>1.593</v>
      </c>
      <c r="E216" s="4">
        <f t="shared" si="12"/>
        <v>1.201844262295082</v>
      </c>
      <c r="F216" s="4">
        <f t="shared" si="13"/>
        <v>107.46384426229508</v>
      </c>
      <c r="G216" s="4">
        <f t="shared" si="14"/>
        <v>5.583333333333333</v>
      </c>
      <c r="H216" s="23">
        <f t="shared" si="15"/>
        <v>1.632964693782717E-2</v>
      </c>
      <c r="I216" s="2" cm="1">
        <f t="array" ref="I216">NSprice($L$4,$L$5,$L$6,$L$7,MOD(G216,0.5),(G216-MOD(G216,0.5))*2+1,B216/100,2)</f>
        <v>107.7131133165413</v>
      </c>
    </row>
    <row r="217" spans="1:9" ht="13.8">
      <c r="A217" s="25">
        <v>45792</v>
      </c>
      <c r="B217" s="28">
        <v>2.125</v>
      </c>
      <c r="C217" s="27">
        <v>102.27200000000001</v>
      </c>
      <c r="D217" s="26">
        <v>1.593</v>
      </c>
      <c r="E217" s="4">
        <f t="shared" si="12"/>
        <v>0.796875</v>
      </c>
      <c r="F217" s="4">
        <f t="shared" si="13"/>
        <v>103.06887500000001</v>
      </c>
      <c r="G217" s="4">
        <f t="shared" si="14"/>
        <v>5.625</v>
      </c>
      <c r="H217" s="23">
        <f t="shared" si="15"/>
        <v>1.6323280179540475E-2</v>
      </c>
      <c r="I217" s="2" cm="1">
        <f t="array" ref="I217">NSprice($L$4,$L$5,$L$6,$L$7,MOD(G217,0.5),(G217-MOD(G217,0.5))*2+1,B217/100,2)</f>
        <v>103.36056594305307</v>
      </c>
    </row>
    <row r="218" spans="1:9" ht="13.8">
      <c r="A218" s="25">
        <v>45808</v>
      </c>
      <c r="B218" s="28">
        <v>2.875</v>
      </c>
      <c r="C218" s="27">
        <v>106.286</v>
      </c>
      <c r="D218" s="26">
        <v>1.5960000000000001</v>
      </c>
      <c r="E218" s="4">
        <f t="shared" si="12"/>
        <v>0.95833333333333326</v>
      </c>
      <c r="F218" s="4">
        <f t="shared" si="13"/>
        <v>107.24433333333333</v>
      </c>
      <c r="G218" s="4">
        <f t="shared" si="14"/>
        <v>5.666666666666667</v>
      </c>
      <c r="H218" s="23">
        <f t="shared" si="15"/>
        <v>1.6317291057264541E-2</v>
      </c>
      <c r="I218" s="2" cm="1">
        <f t="array" ref="I218">NSprice($L$4,$L$5,$L$6,$L$7,MOD(G218,0.5),(G218-MOD(G218,0.5))*2+1,B218/100,2)</f>
        <v>107.57277911663232</v>
      </c>
    </row>
    <row r="219" spans="1:9" ht="13.8">
      <c r="A219" s="25">
        <v>45838</v>
      </c>
      <c r="B219" s="28">
        <v>2.75</v>
      </c>
      <c r="C219" s="27">
        <v>106.092</v>
      </c>
      <c r="D219" s="26">
        <v>1.6</v>
      </c>
      <c r="E219" s="4">
        <f t="shared" si="12"/>
        <v>0.69125683060109289</v>
      </c>
      <c r="F219" s="4">
        <f t="shared" si="13"/>
        <v>106.78325683060109</v>
      </c>
      <c r="G219" s="4">
        <f t="shared" si="14"/>
        <v>5.75</v>
      </c>
      <c r="H219" s="23">
        <f t="shared" si="15"/>
        <v>1.6306424913280715E-2</v>
      </c>
      <c r="I219" s="2" cm="1">
        <f t="array" ref="I219">NSprice($L$4,$L$5,$L$6,$L$7,MOD(G219,0.5),(G219-MOD(G219,0.5))*2+1,B219/100,2)</f>
        <v>106.71993589375799</v>
      </c>
    </row>
    <row r="220" spans="1:9" ht="13.8">
      <c r="A220" s="25">
        <v>45869</v>
      </c>
      <c r="B220" s="28">
        <v>2.875</v>
      </c>
      <c r="C220" s="27">
        <v>107.02</v>
      </c>
      <c r="D220" s="26">
        <v>1.601</v>
      </c>
      <c r="E220" s="4">
        <f t="shared" si="12"/>
        <v>0.47656249999999994</v>
      </c>
      <c r="F220" s="4">
        <f t="shared" si="13"/>
        <v>107.4965625</v>
      </c>
      <c r="G220" s="4">
        <f t="shared" si="14"/>
        <v>5.833333333333333</v>
      </c>
      <c r="H220" s="23">
        <f t="shared" si="15"/>
        <v>1.6297007493591999E-2</v>
      </c>
      <c r="I220" s="2" cm="1">
        <f t="array" ref="I220">NSprice($L$4,$L$5,$L$6,$L$7,MOD(G220,0.5),(G220-MOD(G220,0.5))*2+1,B220/100,2)</f>
        <v>107.29137632040469</v>
      </c>
    </row>
    <row r="221" spans="1:9" ht="13.8">
      <c r="A221" s="25">
        <v>45884</v>
      </c>
      <c r="B221" s="28">
        <v>2</v>
      </c>
      <c r="C221" s="27">
        <v>102.07</v>
      </c>
      <c r="D221" s="26">
        <v>1.603</v>
      </c>
      <c r="E221" s="4">
        <f t="shared" si="12"/>
        <v>0.25</v>
      </c>
      <c r="F221" s="4">
        <f t="shared" si="13"/>
        <v>102.32</v>
      </c>
      <c r="G221" s="4">
        <f t="shared" si="14"/>
        <v>5.875</v>
      </c>
      <c r="H221" s="23">
        <f t="shared" si="15"/>
        <v>1.6292829499216916E-2</v>
      </c>
      <c r="I221" s="2" cm="1">
        <f t="array" ref="I221">NSprice($L$4,$L$5,$L$6,$L$7,MOD(G221,0.5),(G221-MOD(G221,0.5))*2+1,B221/100,2)</f>
        <v>102.24505862122973</v>
      </c>
    </row>
    <row r="222" spans="1:9" ht="13.8">
      <c r="A222" s="25">
        <v>45884</v>
      </c>
      <c r="B222" s="28">
        <v>6.875</v>
      </c>
      <c r="C222" s="27">
        <v>129.16999999999999</v>
      </c>
      <c r="D222" s="26">
        <v>1.5880000000000001</v>
      </c>
      <c r="E222" s="4">
        <f t="shared" si="12"/>
        <v>0.859375</v>
      </c>
      <c r="F222" s="4">
        <f t="shared" si="13"/>
        <v>130.02937499999999</v>
      </c>
      <c r="G222" s="4">
        <f t="shared" si="14"/>
        <v>5.875</v>
      </c>
      <c r="H222" s="23">
        <f t="shared" si="15"/>
        <v>1.6292829499216916E-2</v>
      </c>
      <c r="I222" s="2" cm="1">
        <f t="array" ref="I222">NSprice($L$4,$L$5,$L$6,$L$7,MOD(G222,0.5),(G222-MOD(G222,0.5))*2+1,B222/100,2)</f>
        <v>129.96735643117682</v>
      </c>
    </row>
    <row r="223" spans="1:9" ht="13.8">
      <c r="A223" s="25">
        <v>45900</v>
      </c>
      <c r="B223" s="28">
        <v>2.75</v>
      </c>
      <c r="C223" s="27">
        <v>106.142</v>
      </c>
      <c r="D223" s="26">
        <v>1.603</v>
      </c>
      <c r="E223" s="4">
        <f t="shared" si="12"/>
        <v>0.22418478260869565</v>
      </c>
      <c r="F223" s="4">
        <f t="shared" si="13"/>
        <v>106.3661847826087</v>
      </c>
      <c r="G223" s="4">
        <f t="shared" si="14"/>
        <v>5.916666666666667</v>
      </c>
      <c r="H223" s="23">
        <f t="shared" si="15"/>
        <v>1.6288998735410606E-2</v>
      </c>
      <c r="I223" s="2" cm="1">
        <f t="array" ref="I223">NSprice($L$4,$L$5,$L$6,$L$7,MOD(G223,0.5),(G223-MOD(G223,0.5))*2+1,B223/100,2)</f>
        <v>106.43991093215278</v>
      </c>
    </row>
    <row r="224" spans="1:9" ht="13.8">
      <c r="A224" s="25">
        <v>45930</v>
      </c>
      <c r="B224" s="28">
        <v>3</v>
      </c>
      <c r="C224" s="27">
        <v>107.304</v>
      </c>
      <c r="D224" s="26">
        <v>1.6040000000000001</v>
      </c>
      <c r="E224" s="4">
        <f t="shared" si="12"/>
        <v>0</v>
      </c>
      <c r="F224" s="4">
        <f t="shared" si="13"/>
        <v>107.304</v>
      </c>
      <c r="G224" s="4">
        <f t="shared" si="14"/>
        <v>6</v>
      </c>
      <c r="H224" s="23">
        <f t="shared" si="15"/>
        <v>1.6282359504728915E-2</v>
      </c>
      <c r="I224" s="2" cm="1">
        <f t="array" ref="I224">NSprice($L$4,$L$5,$L$6,$L$7,MOD(G224,0.5),(G224-MOD(G224,0.5))*2+1,B224/100,2)</f>
        <v>109.2182434029654</v>
      </c>
    </row>
    <row r="225" spans="1:9" ht="13.8">
      <c r="A225" s="25">
        <v>45961</v>
      </c>
      <c r="B225" s="28">
        <v>3</v>
      </c>
      <c r="C225" s="27">
        <v>108.01600000000001</v>
      </c>
      <c r="D225" s="26">
        <v>1.6040000000000001</v>
      </c>
      <c r="E225" s="4">
        <f t="shared" si="12"/>
        <v>1.2540983606557377</v>
      </c>
      <c r="F225" s="4">
        <f t="shared" si="13"/>
        <v>109.27009836065574</v>
      </c>
      <c r="G225" s="4">
        <f t="shared" si="14"/>
        <v>6.083333333333333</v>
      </c>
      <c r="H225" s="23">
        <f t="shared" si="15"/>
        <v>1.6277051576043471E-2</v>
      </c>
      <c r="I225" s="2" cm="1">
        <f t="array" ref="I225">NSprice($L$4,$L$5,$L$6,$L$7,MOD(G225,0.5),(G225-MOD(G225,0.5))*2+1,B225/100,2)</f>
        <v>109.07260442928487</v>
      </c>
    </row>
    <row r="226" spans="1:9" ht="13.8">
      <c r="A226" s="25">
        <v>45976</v>
      </c>
      <c r="B226" s="28">
        <v>2.25</v>
      </c>
      <c r="C226" s="27">
        <v>103.232</v>
      </c>
      <c r="D226" s="26">
        <v>1.6080000000000001</v>
      </c>
      <c r="E226" s="4">
        <f t="shared" si="12"/>
        <v>0.84375</v>
      </c>
      <c r="F226" s="4">
        <f t="shared" si="13"/>
        <v>104.07575</v>
      </c>
      <c r="G226" s="4">
        <f t="shared" si="14"/>
        <v>6.125</v>
      </c>
      <c r="H226" s="23">
        <f t="shared" si="15"/>
        <v>1.6274885148006114E-2</v>
      </c>
      <c r="I226" s="2" cm="1">
        <f t="array" ref="I226">NSprice($L$4,$L$5,$L$6,$L$7,MOD(G226,0.5),(G226-MOD(G226,0.5))*2+1,B226/100,2)</f>
        <v>104.37785809734933</v>
      </c>
    </row>
    <row r="227" spans="1:9" ht="13.8">
      <c r="A227" s="25">
        <v>45991</v>
      </c>
      <c r="B227" s="28">
        <v>2.875</v>
      </c>
      <c r="C227" s="27">
        <v>107.13200000000001</v>
      </c>
      <c r="D227" s="26">
        <v>1.607</v>
      </c>
      <c r="E227" s="4">
        <f t="shared" si="12"/>
        <v>0.95833333333333326</v>
      </c>
      <c r="F227" s="4">
        <f t="shared" si="13"/>
        <v>108.09033333333333</v>
      </c>
      <c r="G227" s="4">
        <f t="shared" si="14"/>
        <v>6.166666666666667</v>
      </c>
      <c r="H227" s="23">
        <f t="shared" si="15"/>
        <v>1.6273037612509599E-2</v>
      </c>
      <c r="I227" s="2" cm="1">
        <f t="array" ref="I227">NSprice($L$4,$L$5,$L$6,$L$7,MOD(G227,0.5),(G227-MOD(G227,0.5))*2+1,B227/100,2)</f>
        <v>108.1569253054553</v>
      </c>
    </row>
    <row r="228" spans="1:9" ht="13.8">
      <c r="A228" s="25">
        <v>46022</v>
      </c>
      <c r="B228" s="28">
        <v>2.625</v>
      </c>
      <c r="C228" s="27">
        <v>106.002</v>
      </c>
      <c r="D228" s="26">
        <v>1.61</v>
      </c>
      <c r="E228" s="4">
        <f t="shared" si="12"/>
        <v>0.6598360655737705</v>
      </c>
      <c r="F228" s="4">
        <f t="shared" si="13"/>
        <v>106.66183606557377</v>
      </c>
      <c r="G228" s="4">
        <f t="shared" si="14"/>
        <v>6.25</v>
      </c>
      <c r="H228" s="23">
        <f t="shared" si="15"/>
        <v>1.6270281146517504E-2</v>
      </c>
      <c r="I228" s="2" cm="1">
        <f t="array" ref="I228">NSprice($L$4,$L$5,$L$6,$L$7,MOD(G228,0.5),(G228-MOD(G228,0.5))*2+1,B228/100,2)</f>
        <v>106.47433021727738</v>
      </c>
    </row>
    <row r="229" spans="1:9" ht="13.8">
      <c r="A229" s="25">
        <v>46053</v>
      </c>
      <c r="B229" s="28">
        <v>2.625</v>
      </c>
      <c r="C229" s="27">
        <v>106.02200000000001</v>
      </c>
      <c r="D229" s="26">
        <v>1.6120000000000001</v>
      </c>
      <c r="E229" s="4">
        <f t="shared" si="12"/>
        <v>0.43512228260869562</v>
      </c>
      <c r="F229" s="4">
        <f t="shared" si="13"/>
        <v>106.45712228260871</v>
      </c>
      <c r="G229" s="4">
        <f t="shared" si="14"/>
        <v>6.333333333333333</v>
      </c>
      <c r="H229" s="23">
        <f t="shared" si="15"/>
        <v>1.6268746560681169E-2</v>
      </c>
      <c r="I229" s="2" cm="1">
        <f t="array" ref="I229">NSprice($L$4,$L$5,$L$6,$L$7,MOD(G229,0.5),(G229-MOD(G229,0.5))*2+1,B229/100,2)</f>
        <v>106.33096236313358</v>
      </c>
    </row>
    <row r="230" spans="1:9" ht="13.8">
      <c r="A230" s="25">
        <v>46068</v>
      </c>
      <c r="B230" s="28">
        <v>1.625</v>
      </c>
      <c r="C230" s="27">
        <v>100.01600000000001</v>
      </c>
      <c r="D230" s="26">
        <v>1.6160000000000001</v>
      </c>
      <c r="E230" s="4">
        <f t="shared" si="12"/>
        <v>0.203125</v>
      </c>
      <c r="F230" s="4">
        <f t="shared" si="13"/>
        <v>100.21912500000001</v>
      </c>
      <c r="G230" s="4">
        <f t="shared" si="14"/>
        <v>6.375</v>
      </c>
      <c r="H230" s="23">
        <f t="shared" si="15"/>
        <v>1.6268426570284114E-2</v>
      </c>
      <c r="I230" s="2" cm="1">
        <f t="array" ref="I230">NSprice($L$4,$L$5,$L$6,$L$7,MOD(G230,0.5),(G230-MOD(G230,0.5))*2+1,B230/100,2)</f>
        <v>100.12178211950631</v>
      </c>
    </row>
    <row r="231" spans="1:9" ht="13.8">
      <c r="A231" s="25">
        <v>46068</v>
      </c>
      <c r="B231" s="28">
        <v>6</v>
      </c>
      <c r="C231" s="27">
        <v>126.176</v>
      </c>
      <c r="D231" s="26">
        <v>1.6</v>
      </c>
      <c r="E231" s="4">
        <f t="shared" si="12"/>
        <v>0.75</v>
      </c>
      <c r="F231" s="4">
        <f t="shared" si="13"/>
        <v>126.926</v>
      </c>
      <c r="G231" s="4">
        <f t="shared" si="14"/>
        <v>6.375</v>
      </c>
      <c r="H231" s="23">
        <f t="shared" si="15"/>
        <v>1.6268426570284114E-2</v>
      </c>
      <c r="I231" s="2" cm="1">
        <f t="array" ref="I231">NSprice($L$4,$L$5,$L$6,$L$7,MOD(G231,0.5),(G231-MOD(G231,0.5))*2+1,B231/100,2)</f>
        <v>126.9727670647455</v>
      </c>
    </row>
    <row r="232" spans="1:9" ht="13.8">
      <c r="A232" s="25">
        <v>46081</v>
      </c>
      <c r="B232" s="28">
        <v>2.5</v>
      </c>
      <c r="C232" s="27">
        <v>105.12</v>
      </c>
      <c r="D232" s="26">
        <v>1.615</v>
      </c>
      <c r="E232" s="4">
        <f t="shared" si="12"/>
        <v>0.20380434782608697</v>
      </c>
      <c r="F232" s="4">
        <f t="shared" si="13"/>
        <v>105.3238043478261</v>
      </c>
      <c r="G232" s="4">
        <f t="shared" si="14"/>
        <v>6.4111111111111114</v>
      </c>
      <c r="H232" s="23">
        <f t="shared" si="15"/>
        <v>1.6268385988920085E-2</v>
      </c>
      <c r="I232" s="2" cm="1">
        <f t="array" ref="I232">NSprice($L$4,$L$5,$L$6,$L$7,MOD(G232,0.5),(G232-MOD(G232,0.5))*2+1,B232/100,2)</f>
        <v>105.43011752216458</v>
      </c>
    </row>
    <row r="233" spans="1:9" ht="13.8">
      <c r="A233" s="25">
        <v>46112</v>
      </c>
      <c r="B233" s="28">
        <v>2.25</v>
      </c>
      <c r="C233" s="27">
        <v>103.294</v>
      </c>
      <c r="D233" s="26">
        <v>1.6120000000000001</v>
      </c>
      <c r="E233" s="4">
        <f t="shared" si="12"/>
        <v>0</v>
      </c>
      <c r="F233" s="4">
        <f t="shared" si="13"/>
        <v>103.294</v>
      </c>
      <c r="G233" s="4">
        <f t="shared" si="14"/>
        <v>6.5</v>
      </c>
      <c r="H233" s="23">
        <f t="shared" si="15"/>
        <v>1.6269204699803943E-2</v>
      </c>
      <c r="I233" s="2" cm="1">
        <f t="array" ref="I233">NSprice($L$4,$L$5,$L$6,$L$7,MOD(G233,0.5),(G233-MOD(G233,0.5))*2+1,B233/100,2)</f>
        <v>104.87128905024086</v>
      </c>
    </row>
    <row r="234" spans="1:9" ht="13.8">
      <c r="A234" s="25">
        <v>46142</v>
      </c>
      <c r="B234" s="28">
        <v>2.375</v>
      </c>
      <c r="C234" s="27">
        <v>104.232</v>
      </c>
      <c r="D234" s="26">
        <v>1.615</v>
      </c>
      <c r="E234" s="4">
        <f t="shared" si="12"/>
        <v>0.99282786885245911</v>
      </c>
      <c r="F234" s="4">
        <f t="shared" si="13"/>
        <v>105.22482786885246</v>
      </c>
      <c r="G234" s="4">
        <f t="shared" si="14"/>
        <v>6.583333333333333</v>
      </c>
      <c r="H234" s="23">
        <f t="shared" si="15"/>
        <v>1.6271130275616431E-2</v>
      </c>
      <c r="I234" s="2" cm="1">
        <f t="array" ref="I234">NSprice($L$4,$L$5,$L$6,$L$7,MOD(G234,0.5),(G234-MOD(G234,0.5))*2+1,B234/100,2)</f>
        <v>105.55467088886951</v>
      </c>
    </row>
    <row r="235" spans="1:9" ht="13.8">
      <c r="A235" s="25">
        <v>46157</v>
      </c>
      <c r="B235" s="28">
        <v>1.625</v>
      </c>
      <c r="C235" s="27">
        <v>100.02</v>
      </c>
      <c r="D235" s="26">
        <v>1.615</v>
      </c>
      <c r="E235" s="4">
        <f t="shared" si="12"/>
        <v>0.609375</v>
      </c>
      <c r="F235" s="4">
        <f t="shared" si="13"/>
        <v>100.629375</v>
      </c>
      <c r="G235" s="4">
        <f t="shared" si="14"/>
        <v>6.625</v>
      </c>
      <c r="H235" s="23">
        <f t="shared" si="15"/>
        <v>1.6272502888484086E-2</v>
      </c>
      <c r="I235" s="2" cm="1">
        <f t="array" ref="I235">NSprice($L$4,$L$5,$L$6,$L$7,MOD(G235,0.5),(G235-MOD(G235,0.5))*2+1,B235/100,2)</f>
        <v>100.52366413519772</v>
      </c>
    </row>
    <row r="236" spans="1:9" ht="13.8">
      <c r="A236" s="25">
        <v>46173</v>
      </c>
      <c r="B236" s="28">
        <v>2.125</v>
      </c>
      <c r="C236" s="27">
        <v>103.062</v>
      </c>
      <c r="D236" s="26">
        <v>1.617</v>
      </c>
      <c r="E236" s="4">
        <f t="shared" si="12"/>
        <v>0.70833333333333326</v>
      </c>
      <c r="F236" s="4">
        <f t="shared" si="13"/>
        <v>103.77033333333333</v>
      </c>
      <c r="G236" s="4">
        <f t="shared" si="14"/>
        <v>6.666666666666667</v>
      </c>
      <c r="H236" s="23">
        <f t="shared" si="15"/>
        <v>1.6274143398022578E-2</v>
      </c>
      <c r="I236" s="2" cm="1">
        <f t="array" ref="I236">NSprice($L$4,$L$5,$L$6,$L$7,MOD(G236,0.5),(G236-MOD(G236,0.5))*2+1,B236/100,2)</f>
        <v>103.75787796267346</v>
      </c>
    </row>
    <row r="237" spans="1:9" ht="13.8">
      <c r="A237" s="25">
        <v>46203</v>
      </c>
      <c r="B237" s="28">
        <v>1.875</v>
      </c>
      <c r="C237" s="27">
        <v>101.206</v>
      </c>
      <c r="D237" s="26">
        <v>1.615</v>
      </c>
      <c r="E237" s="4">
        <f t="shared" si="12"/>
        <v>0.47131147540983609</v>
      </c>
      <c r="F237" s="4">
        <f t="shared" si="13"/>
        <v>101.67731147540984</v>
      </c>
      <c r="G237" s="4">
        <f t="shared" si="14"/>
        <v>6.75</v>
      </c>
      <c r="H237" s="23">
        <f t="shared" si="15"/>
        <v>1.6278212429439207E-2</v>
      </c>
      <c r="I237" s="2" cm="1">
        <f t="array" ref="I237">NSprice($L$4,$L$5,$L$6,$L$7,MOD(G237,0.5),(G237-MOD(G237,0.5))*2+1,B237/100,2)</f>
        <v>101.96523181534646</v>
      </c>
    </row>
    <row r="238" spans="1:9" ht="13.8">
      <c r="A238" s="25">
        <v>46234</v>
      </c>
      <c r="B238" s="28">
        <v>1.875</v>
      </c>
      <c r="C238" s="27">
        <v>101.214</v>
      </c>
      <c r="D238" s="26">
        <v>1.615</v>
      </c>
      <c r="E238" s="4">
        <f t="shared" si="12"/>
        <v>0.31080163043478259</v>
      </c>
      <c r="F238" s="4">
        <f t="shared" si="13"/>
        <v>101.52480163043478</v>
      </c>
      <c r="G238" s="4">
        <f t="shared" si="14"/>
        <v>6.833333333333333</v>
      </c>
      <c r="H238" s="23">
        <f t="shared" si="15"/>
        <v>1.6283306476636141E-2</v>
      </c>
      <c r="I238" s="2" cm="1">
        <f t="array" ref="I238">NSprice($L$4,$L$5,$L$6,$L$7,MOD(G238,0.5),(G238-MOD(G238,0.5))*2+1,B238/100,2)</f>
        <v>101.82388729141988</v>
      </c>
    </row>
    <row r="239" spans="1:9" ht="13.8">
      <c r="A239" s="25">
        <v>46249</v>
      </c>
      <c r="B239" s="28">
        <v>1.5</v>
      </c>
      <c r="C239" s="27">
        <v>99.075999999999993</v>
      </c>
      <c r="D239" s="26">
        <v>1.617</v>
      </c>
      <c r="E239" s="4">
        <f t="shared" si="12"/>
        <v>0.1875</v>
      </c>
      <c r="F239" s="4">
        <f t="shared" si="13"/>
        <v>99.263499999999993</v>
      </c>
      <c r="G239" s="4">
        <f t="shared" si="14"/>
        <v>6.875</v>
      </c>
      <c r="H239" s="23">
        <f t="shared" si="15"/>
        <v>1.628622842652001E-2</v>
      </c>
      <c r="I239" s="2" cm="1">
        <f t="array" ref="I239">NSprice($L$4,$L$5,$L$6,$L$7,MOD(G239,0.5),(G239-MOD(G239,0.5))*2+1,B239/100,2)</f>
        <v>99.283909544260908</v>
      </c>
    </row>
    <row r="240" spans="1:9" ht="13.8">
      <c r="A240" s="25">
        <v>46249</v>
      </c>
      <c r="B240" s="28">
        <v>6.75</v>
      </c>
      <c r="C240" s="27">
        <v>133.126</v>
      </c>
      <c r="D240" s="26">
        <v>1.599</v>
      </c>
      <c r="E240" s="4">
        <f t="shared" si="12"/>
        <v>0.84375</v>
      </c>
      <c r="F240" s="4">
        <f t="shared" si="13"/>
        <v>133.96975</v>
      </c>
      <c r="G240" s="4">
        <f t="shared" si="14"/>
        <v>6.875</v>
      </c>
      <c r="H240" s="23">
        <f t="shared" si="15"/>
        <v>1.628622842652001E-2</v>
      </c>
      <c r="I240" s="2" cm="1">
        <f t="array" ref="I240">NSprice($L$4,$L$5,$L$6,$L$7,MOD(G240,0.5),(G240-MOD(G240,0.5))*2+1,B240/100,2)</f>
        <v>133.85203317684045</v>
      </c>
    </row>
    <row r="241" spans="1:9" ht="13.8">
      <c r="A241" s="25">
        <v>46265</v>
      </c>
      <c r="B241" s="28">
        <v>1.375</v>
      </c>
      <c r="C241" s="27">
        <v>98.132000000000005</v>
      </c>
      <c r="D241" s="26">
        <v>1.6180000000000001</v>
      </c>
      <c r="E241" s="4">
        <f t="shared" si="12"/>
        <v>0.11209239130434782</v>
      </c>
      <c r="F241" s="4">
        <f t="shared" si="13"/>
        <v>98.244092391304349</v>
      </c>
      <c r="G241" s="4">
        <f t="shared" si="14"/>
        <v>6.916666666666667</v>
      </c>
      <c r="H241" s="23">
        <f t="shared" si="15"/>
        <v>1.6289395374382162E-2</v>
      </c>
      <c r="I241" s="2" cm="1">
        <f t="array" ref="I241">NSprice($L$4,$L$5,$L$6,$L$7,MOD(G241,0.5),(G241-MOD(G241,0.5))*2+1,B241/100,2)</f>
        <v>98.392148109083493</v>
      </c>
    </row>
    <row r="242" spans="1:9" ht="13.8">
      <c r="A242" s="25">
        <v>46295</v>
      </c>
      <c r="B242" s="28">
        <v>1.625</v>
      </c>
      <c r="C242" s="27">
        <v>100.012</v>
      </c>
      <c r="D242" s="26">
        <v>1.619</v>
      </c>
      <c r="E242" s="4">
        <f t="shared" si="12"/>
        <v>0</v>
      </c>
      <c r="F242" s="4">
        <f t="shared" si="13"/>
        <v>100.012</v>
      </c>
      <c r="G242" s="4">
        <f t="shared" si="14"/>
        <v>7</v>
      </c>
      <c r="H242" s="23">
        <f t="shared" si="15"/>
        <v>1.6296449669439366E-2</v>
      </c>
      <c r="I242" s="2" cm="1">
        <f t="array" ref="I242">NSprice($L$4,$L$5,$L$6,$L$7,MOD(G242,0.5),(G242-MOD(G242,0.5))*2+1,B242/100,2)</f>
        <v>100.70967180808427</v>
      </c>
    </row>
    <row r="243" spans="1:9" ht="13.8">
      <c r="A243" s="25">
        <v>46341</v>
      </c>
      <c r="B243" s="28">
        <v>2</v>
      </c>
      <c r="C243" s="27">
        <v>102.18</v>
      </c>
      <c r="D243" s="26">
        <v>1.6180000000000001</v>
      </c>
      <c r="E243" s="4">
        <f t="shared" si="12"/>
        <v>0.75</v>
      </c>
      <c r="F243" s="4">
        <f t="shared" si="13"/>
        <v>102.93</v>
      </c>
      <c r="G243" s="4">
        <f t="shared" si="14"/>
        <v>7.125</v>
      </c>
      <c r="H243" s="23">
        <f t="shared" si="15"/>
        <v>1.630877851286805E-2</v>
      </c>
      <c r="I243" s="2" cm="1">
        <f t="array" ref="I243">NSprice($L$4,$L$5,$L$6,$L$7,MOD(G243,0.5),(G243-MOD(G243,0.5))*2+1,B243/100,2)</f>
        <v>103.1426891612326</v>
      </c>
    </row>
    <row r="244" spans="1:9" ht="13.8">
      <c r="A244" s="25">
        <v>46341</v>
      </c>
      <c r="B244" s="28">
        <v>6.5</v>
      </c>
      <c r="C244" s="27">
        <v>132.25200000000001</v>
      </c>
      <c r="D244" s="26">
        <v>1.609</v>
      </c>
      <c r="E244" s="4">
        <f t="shared" si="12"/>
        <v>2.4375</v>
      </c>
      <c r="F244" s="4">
        <f t="shared" si="13"/>
        <v>134.68950000000001</v>
      </c>
      <c r="G244" s="4">
        <f t="shared" si="14"/>
        <v>7.125</v>
      </c>
      <c r="H244" s="23">
        <f t="shared" si="15"/>
        <v>1.630877851286805E-2</v>
      </c>
      <c r="I244" s="2" cm="1">
        <f t="array" ref="I244">NSprice($L$4,$L$5,$L$6,$L$7,MOD(G244,0.5),(G244-MOD(G244,0.5))*2+1,B244/100,2)</f>
        <v>134.89689130595028</v>
      </c>
    </row>
    <row r="245" spans="1:9" ht="13.8">
      <c r="A245" s="25">
        <v>46433</v>
      </c>
      <c r="B245" s="28">
        <v>2.25</v>
      </c>
      <c r="C245" s="27">
        <v>104.116</v>
      </c>
      <c r="D245" s="26">
        <v>1.619</v>
      </c>
      <c r="E245" s="4">
        <f t="shared" si="12"/>
        <v>0.28125</v>
      </c>
      <c r="F245" s="4">
        <f t="shared" si="13"/>
        <v>104.39725</v>
      </c>
      <c r="G245" s="4">
        <f t="shared" si="14"/>
        <v>7.375</v>
      </c>
      <c r="H245" s="23">
        <f t="shared" si="15"/>
        <v>1.6339385546098074E-2</v>
      </c>
      <c r="I245" s="2" cm="1">
        <f t="array" ref="I245">NSprice($L$4,$L$5,$L$6,$L$7,MOD(G245,0.5),(G245-MOD(G245,0.5))*2+1,B245/100,2)</f>
        <v>104.45963948401848</v>
      </c>
    </row>
    <row r="246" spans="1:9" ht="13.8">
      <c r="A246" s="25">
        <v>46433</v>
      </c>
      <c r="B246" s="28">
        <v>6.625</v>
      </c>
      <c r="C246" s="27">
        <v>134.196</v>
      </c>
      <c r="D246" s="26">
        <v>1.623</v>
      </c>
      <c r="E246" s="4">
        <f t="shared" si="12"/>
        <v>0.828125</v>
      </c>
      <c r="F246" s="4">
        <f t="shared" si="13"/>
        <v>135.024125</v>
      </c>
      <c r="G246" s="4">
        <f t="shared" si="14"/>
        <v>7.375</v>
      </c>
      <c r="H246" s="23">
        <f t="shared" si="15"/>
        <v>1.6339385546098074E-2</v>
      </c>
      <c r="I246" s="2" cm="1">
        <f t="array" ref="I246">NSprice($L$4,$L$5,$L$6,$L$7,MOD(G246,0.5),(G246-MOD(G246,0.5))*2+1,B246/100,2)</f>
        <v>135.20557205017838</v>
      </c>
    </row>
    <row r="247" spans="1:9" ht="13.8">
      <c r="A247" s="25">
        <v>46522</v>
      </c>
      <c r="B247" s="28">
        <v>2.375</v>
      </c>
      <c r="C247" s="27">
        <v>105.12</v>
      </c>
      <c r="D247" s="26">
        <v>1.6220000000000001</v>
      </c>
      <c r="E247" s="4">
        <f t="shared" si="12"/>
        <v>0.890625</v>
      </c>
      <c r="F247" s="4">
        <f t="shared" si="13"/>
        <v>106.010625</v>
      </c>
      <c r="G247" s="4">
        <f t="shared" si="14"/>
        <v>7.625</v>
      </c>
      <c r="H247" s="23">
        <f t="shared" si="15"/>
        <v>1.6377335306697296E-2</v>
      </c>
      <c r="I247" s="2" cm="1">
        <f t="array" ref="I247">NSprice($L$4,$L$5,$L$6,$L$7,MOD(G247,0.5),(G247-MOD(G247,0.5))*2+1,B247/100,2)</f>
        <v>106.06778563185965</v>
      </c>
    </row>
    <row r="248" spans="1:9" ht="13.8">
      <c r="A248" s="25">
        <v>46614</v>
      </c>
      <c r="B248" s="28">
        <v>2.25</v>
      </c>
      <c r="C248" s="27">
        <v>104.176</v>
      </c>
      <c r="D248" s="26">
        <v>1.631</v>
      </c>
      <c r="E248" s="4">
        <f t="shared" si="12"/>
        <v>0.28125</v>
      </c>
      <c r="F248" s="4">
        <f t="shared" si="13"/>
        <v>104.45725</v>
      </c>
      <c r="G248" s="4">
        <f t="shared" si="14"/>
        <v>7.875</v>
      </c>
      <c r="H248" s="23">
        <f t="shared" si="15"/>
        <v>1.6421963500013154E-2</v>
      </c>
      <c r="I248" s="2" cm="1">
        <f t="array" ref="I248">NSprice($L$4,$L$5,$L$6,$L$7,MOD(G248,0.5),(G248-MOD(G248,0.5))*2+1,B248/100,2)</f>
        <v>104.66973386351529</v>
      </c>
    </row>
    <row r="249" spans="1:9" ht="13.8">
      <c r="A249" s="25">
        <v>46614</v>
      </c>
      <c r="B249" s="28">
        <v>6.375</v>
      </c>
      <c r="C249" s="27">
        <v>135</v>
      </c>
      <c r="D249" s="26">
        <v>1.621</v>
      </c>
      <c r="E249" s="4">
        <f t="shared" si="12"/>
        <v>0.796875</v>
      </c>
      <c r="F249" s="4">
        <f t="shared" si="13"/>
        <v>135.796875</v>
      </c>
      <c r="G249" s="4">
        <f t="shared" si="14"/>
        <v>7.875</v>
      </c>
      <c r="H249" s="23">
        <f t="shared" si="15"/>
        <v>1.6421963500013154E-2</v>
      </c>
      <c r="I249" s="2" cm="1">
        <f t="array" ref="I249">NSprice($L$4,$L$5,$L$6,$L$7,MOD(G249,0.5),(G249-MOD(G249,0.5))*2+1,B249/100,2)</f>
        <v>135.47105440219801</v>
      </c>
    </row>
    <row r="250" spans="1:9" ht="13.8">
      <c r="A250" s="25">
        <v>46706</v>
      </c>
      <c r="B250" s="28">
        <v>2.25</v>
      </c>
      <c r="C250" s="27">
        <v>104.202</v>
      </c>
      <c r="D250" s="26">
        <v>1.6379999999999999</v>
      </c>
      <c r="E250" s="4">
        <f t="shared" si="12"/>
        <v>0.84375</v>
      </c>
      <c r="F250" s="4">
        <f t="shared" si="13"/>
        <v>105.04575</v>
      </c>
      <c r="G250" s="4">
        <f t="shared" si="14"/>
        <v>8.125</v>
      </c>
      <c r="H250" s="23">
        <f t="shared" si="15"/>
        <v>1.6472652516068803E-2</v>
      </c>
      <c r="I250" s="2" cm="1">
        <f t="array" ref="I250">NSprice($L$4,$L$5,$L$6,$L$7,MOD(G250,0.5),(G250-MOD(G250,0.5))*2+1,B250/100,2)</f>
        <v>105.32707762586327</v>
      </c>
    </row>
    <row r="251" spans="1:9" ht="13.8">
      <c r="A251" s="25">
        <v>46706</v>
      </c>
      <c r="B251" s="28">
        <v>6.125</v>
      </c>
      <c r="C251" s="27">
        <v>134.03</v>
      </c>
      <c r="D251" s="26">
        <v>1.627</v>
      </c>
      <c r="E251" s="4">
        <f t="shared" si="12"/>
        <v>2.296875</v>
      </c>
      <c r="F251" s="4">
        <f t="shared" si="13"/>
        <v>136.326875</v>
      </c>
      <c r="G251" s="4">
        <f t="shared" si="14"/>
        <v>8.125</v>
      </c>
      <c r="H251" s="23">
        <f t="shared" si="15"/>
        <v>1.6472652516068803E-2</v>
      </c>
      <c r="I251" s="2" cm="1">
        <f t="array" ref="I251">NSprice($L$4,$L$5,$L$6,$L$7,MOD(G251,0.5),(G251-MOD(G251,0.5))*2+1,B251/100,2)</f>
        <v>136.07581056161825</v>
      </c>
    </row>
    <row r="252" spans="1:9" ht="13.8">
      <c r="A252" s="25">
        <v>46798</v>
      </c>
      <c r="B252" s="28">
        <v>2.75</v>
      </c>
      <c r="C252" s="27">
        <v>108.18600000000001</v>
      </c>
      <c r="D252" s="26">
        <v>1.6479999999999999</v>
      </c>
      <c r="E252" s="4">
        <f t="shared" si="12"/>
        <v>0.34375</v>
      </c>
      <c r="F252" s="4">
        <f t="shared" si="13"/>
        <v>108.52975000000001</v>
      </c>
      <c r="G252" s="4">
        <f t="shared" si="14"/>
        <v>8.375</v>
      </c>
      <c r="H252" s="23">
        <f t="shared" si="15"/>
        <v>1.6528828392873798E-2</v>
      </c>
      <c r="I252" s="2" cm="1">
        <f t="array" ref="I252">NSprice($L$4,$L$5,$L$6,$L$7,MOD(G252,0.5),(G252-MOD(G252,0.5))*2+1,B252/100,2)</f>
        <v>108.80397321115261</v>
      </c>
    </row>
    <row r="253" spans="1:9" ht="13.8">
      <c r="A253" s="25">
        <v>46888</v>
      </c>
      <c r="B253" s="28">
        <v>2.875</v>
      </c>
      <c r="C253" s="27">
        <v>109.246</v>
      </c>
      <c r="D253" s="26">
        <v>1.6539999999999999</v>
      </c>
      <c r="E253" s="4">
        <f t="shared" si="12"/>
        <v>1.078125</v>
      </c>
      <c r="F253" s="4">
        <f t="shared" si="13"/>
        <v>110.324125</v>
      </c>
      <c r="G253" s="4">
        <f t="shared" si="14"/>
        <v>8.625</v>
      </c>
      <c r="H253" s="23">
        <f t="shared" si="15"/>
        <v>1.6589957970669925E-2</v>
      </c>
      <c r="I253" s="2" cm="1">
        <f t="array" ref="I253">NSprice($L$4,$L$5,$L$6,$L$7,MOD(G253,0.5),(G253-MOD(G253,0.5))*2+1,B253/100,2)</f>
        <v>110.72717110665683</v>
      </c>
    </row>
    <row r="254" spans="1:9" ht="13.8">
      <c r="A254" s="25">
        <v>46980</v>
      </c>
      <c r="B254" s="28">
        <v>2.875</v>
      </c>
      <c r="C254" s="27">
        <v>109.306</v>
      </c>
      <c r="D254" s="26">
        <v>1.663</v>
      </c>
      <c r="E254" s="4">
        <f t="shared" si="12"/>
        <v>0.359375</v>
      </c>
      <c r="F254" s="4">
        <f t="shared" si="13"/>
        <v>109.665375</v>
      </c>
      <c r="G254" s="4">
        <f t="shared" si="14"/>
        <v>8.875</v>
      </c>
      <c r="H254" s="23">
        <f t="shared" si="15"/>
        <v>1.6655546225319055E-2</v>
      </c>
      <c r="I254" s="2" cm="1">
        <f t="array" ref="I254">NSprice($L$4,$L$5,$L$6,$L$7,MOD(G254,0.5),(G254-MOD(G254,0.5))*2+1,B254/100,2)</f>
        <v>110.21803634401266</v>
      </c>
    </row>
    <row r="255" spans="1:9" ht="13.8">
      <c r="A255" s="25">
        <v>46980</v>
      </c>
      <c r="B255" s="28">
        <v>5.5</v>
      </c>
      <c r="C255" s="27">
        <v>131.21</v>
      </c>
      <c r="D255" s="26">
        <v>1.65</v>
      </c>
      <c r="E255" s="4">
        <f t="shared" si="12"/>
        <v>0.6875</v>
      </c>
      <c r="F255" s="4">
        <f t="shared" si="13"/>
        <v>131.89750000000001</v>
      </c>
      <c r="G255" s="4">
        <f t="shared" si="14"/>
        <v>8.875</v>
      </c>
      <c r="H255" s="23">
        <f t="shared" si="15"/>
        <v>1.6655546225319055E-2</v>
      </c>
      <c r="I255" s="2" cm="1">
        <f t="array" ref="I255">NSprice($L$4,$L$5,$L$6,$L$7,MOD(G255,0.5),(G255-MOD(G255,0.5))*2+1,B255/100,2)</f>
        <v>132.09385031420214</v>
      </c>
    </row>
    <row r="256" spans="1:9" ht="13.8">
      <c r="A256" s="25">
        <v>47072</v>
      </c>
      <c r="B256" s="28">
        <v>3.125</v>
      </c>
      <c r="C256" s="27">
        <v>112.084</v>
      </c>
      <c r="D256" s="26">
        <v>1.67</v>
      </c>
      <c r="E256" s="4">
        <f t="shared" si="12"/>
        <v>1.171875</v>
      </c>
      <c r="F256" s="4">
        <f t="shared" si="13"/>
        <v>113.255875</v>
      </c>
      <c r="G256" s="4">
        <f t="shared" si="14"/>
        <v>9.125</v>
      </c>
      <c r="H256" s="23">
        <f t="shared" si="15"/>
        <v>1.6725133769760994E-2</v>
      </c>
      <c r="I256" s="2" cm="1">
        <f t="array" ref="I256">NSprice($L$4,$L$5,$L$6,$L$7,MOD(G256,0.5),(G256-MOD(G256,0.5))*2+1,B256/100,2)</f>
        <v>113.33874843254927</v>
      </c>
    </row>
    <row r="257" spans="1:9" ht="13.8">
      <c r="A257" s="25">
        <v>47072</v>
      </c>
      <c r="B257" s="28">
        <v>5.25</v>
      </c>
      <c r="C257" s="27">
        <v>130.09</v>
      </c>
      <c r="D257" s="26">
        <v>1.659</v>
      </c>
      <c r="E257" s="4">
        <f t="shared" si="12"/>
        <v>1.96875</v>
      </c>
      <c r="F257" s="4">
        <f t="shared" si="13"/>
        <v>132.05875</v>
      </c>
      <c r="G257" s="4">
        <f t="shared" si="14"/>
        <v>9.125</v>
      </c>
      <c r="H257" s="23">
        <f t="shared" si="15"/>
        <v>1.6725133769760994E-2</v>
      </c>
      <c r="I257" s="2" cm="1">
        <f t="array" ref="I257">NSprice($L$4,$L$5,$L$6,$L$7,MOD(G257,0.5),(G257-MOD(G257,0.5))*2+1,B257/100,2)</f>
        <v>132.03391386236495</v>
      </c>
    </row>
    <row r="258" spans="1:9" ht="13.8">
      <c r="A258" s="25">
        <v>47164</v>
      </c>
      <c r="B258" s="28">
        <v>2.625</v>
      </c>
      <c r="C258" s="27">
        <v>108.07599999999999</v>
      </c>
      <c r="D258" s="26">
        <v>1.671</v>
      </c>
      <c r="E258" s="4">
        <f t="shared" si="12"/>
        <v>0.328125</v>
      </c>
      <c r="F258" s="4">
        <f t="shared" si="13"/>
        <v>108.40412499999999</v>
      </c>
      <c r="G258" s="4">
        <f t="shared" si="14"/>
        <v>9.375</v>
      </c>
      <c r="H258" s="23">
        <f t="shared" si="15"/>
        <v>1.6798294513146111E-2</v>
      </c>
      <c r="I258" s="2" cm="1">
        <f t="array" ref="I258">NSprice($L$4,$L$5,$L$6,$L$7,MOD(G258,0.5),(G258-MOD(G258,0.5))*2+1,B258/100,2)</f>
        <v>108.4261174853809</v>
      </c>
    </row>
    <row r="259" spans="1:9" ht="13.8">
      <c r="A259" s="25">
        <v>47164</v>
      </c>
      <c r="B259" s="28">
        <v>5.25</v>
      </c>
      <c r="C259" s="27">
        <v>131.012</v>
      </c>
      <c r="D259" s="26">
        <v>1.66</v>
      </c>
      <c r="E259" s="4">
        <f t="shared" si="12"/>
        <v>0.65625</v>
      </c>
      <c r="F259" s="4">
        <f t="shared" si="13"/>
        <v>131.66825</v>
      </c>
      <c r="G259" s="4">
        <f t="shared" si="14"/>
        <v>9.375</v>
      </c>
      <c r="H259" s="23">
        <f t="shared" si="15"/>
        <v>1.6798294513146111E-2</v>
      </c>
      <c r="I259" s="2" cm="1">
        <f t="array" ref="I259">NSprice($L$4,$L$5,$L$6,$L$7,MOD(G259,0.5),(G259-MOD(G259,0.5))*2+1,B259/100,2)</f>
        <v>131.42318770098618</v>
      </c>
    </row>
    <row r="260" spans="1:9" ht="13.8">
      <c r="A260" s="25">
        <v>47253</v>
      </c>
      <c r="B260" s="28">
        <v>2.375</v>
      </c>
      <c r="C260" s="27">
        <v>106.06</v>
      </c>
      <c r="D260" s="26">
        <v>1.6759999999999999</v>
      </c>
      <c r="E260" s="4">
        <f t="shared" si="12"/>
        <v>0.890625</v>
      </c>
      <c r="F260" s="4">
        <f t="shared" si="13"/>
        <v>106.950625</v>
      </c>
      <c r="G260" s="4">
        <f t="shared" si="14"/>
        <v>9.625</v>
      </c>
      <c r="H260" s="23">
        <f t="shared" si="15"/>
        <v>1.6874633467883482E-2</v>
      </c>
      <c r="I260" s="2" cm="1">
        <f t="array" ref="I260">NSprice($L$4,$L$5,$L$6,$L$7,MOD(G260,0.5),(G260-MOD(G260,0.5))*2+1,B260/100,2)</f>
        <v>106.91262311866561</v>
      </c>
    </row>
    <row r="261" spans="1:9" ht="13.8">
      <c r="A261" s="25">
        <v>47345</v>
      </c>
      <c r="B261" s="28">
        <v>1.625</v>
      </c>
      <c r="C261" s="27">
        <v>99.171999999999997</v>
      </c>
      <c r="D261" s="26">
        <v>1.6759999999999999</v>
      </c>
      <c r="E261" s="4">
        <f t="shared" ref="E261:E312" si="16">COUPDAYBS($B$2,A261,2,1)/COUPDAYS($B$2,A261,2,1)*(B261/2)</f>
        <v>0.203125</v>
      </c>
      <c r="F261" s="4">
        <f t="shared" ref="F261:F312" si="17">E261+C261</f>
        <v>99.375124999999997</v>
      </c>
      <c r="G261" s="4">
        <f t="shared" ref="G261:G312" si="18">YEARFRAC($B$2,A261,)</f>
        <v>9.875</v>
      </c>
      <c r="H261" s="23">
        <f t="shared" ref="H261:H312" si="19">$L$4+($L$5+$L$6)*$L$7*(1-EXP(-G261/$L$7))/G261-$L$6*EXP(-G261/$L$7)</f>
        <v>1.6953784695442661E-2</v>
      </c>
      <c r="I261" s="2" cm="1">
        <f t="array" ref="I261">NSprice($L$4,$L$5,$L$6,$L$7,MOD(G261,0.5),(G261-MOD(G261,0.5))*2+1,B261/100,2)</f>
        <v>99.5080755989529</v>
      </c>
    </row>
    <row r="262" spans="1:9" ht="13.8">
      <c r="A262" s="25">
        <v>47345</v>
      </c>
      <c r="B262" s="28">
        <v>6.125</v>
      </c>
      <c r="C262" s="27">
        <v>140.11000000000001</v>
      </c>
      <c r="D262" s="26">
        <v>1.6739999999999999</v>
      </c>
      <c r="E262" s="4">
        <f t="shared" si="16"/>
        <v>0.765625</v>
      </c>
      <c r="F262" s="4">
        <f t="shared" si="17"/>
        <v>140.87562500000001</v>
      </c>
      <c r="G262" s="4">
        <f t="shared" si="18"/>
        <v>9.875</v>
      </c>
      <c r="H262" s="23">
        <f t="shared" si="19"/>
        <v>1.6953784695442661E-2</v>
      </c>
      <c r="I262" s="2" cm="1">
        <f t="array" ref="I262">NSprice($L$4,$L$5,$L$6,$L$7,MOD(G262,0.5),(G262-MOD(G262,0.5))*2+1,B262/100,2)</f>
        <v>140.83477679375915</v>
      </c>
    </row>
    <row r="263" spans="1:9" ht="13.8">
      <c r="A263" s="25">
        <v>47618</v>
      </c>
      <c r="B263" s="28">
        <v>6.25</v>
      </c>
      <c r="C263" s="27">
        <v>144.09200000000001</v>
      </c>
      <c r="D263" s="26">
        <v>1.68</v>
      </c>
      <c r="E263" s="4">
        <f t="shared" si="16"/>
        <v>2.34375</v>
      </c>
      <c r="F263" s="4">
        <f t="shared" si="17"/>
        <v>146.43575000000001</v>
      </c>
      <c r="G263" s="4">
        <f t="shared" si="18"/>
        <v>10.625</v>
      </c>
      <c r="H263" s="23">
        <f t="shared" si="19"/>
        <v>1.7204848807662845E-2</v>
      </c>
      <c r="I263" s="2" cm="1">
        <f t="array" ref="I263">NSprice($L$4,$L$5,$L$6,$L$7,MOD(G263,0.5),(G263-MOD(G263,0.5))*2+1,B263/100,2)</f>
        <v>146.16847403517102</v>
      </c>
    </row>
    <row r="264" spans="1:9" ht="13.8">
      <c r="A264" s="25">
        <v>47894</v>
      </c>
      <c r="B264" s="28">
        <v>5.375</v>
      </c>
      <c r="C264" s="27">
        <v>137.286</v>
      </c>
      <c r="D264" s="26">
        <v>1.696</v>
      </c>
      <c r="E264" s="4">
        <f t="shared" si="16"/>
        <v>0.671875</v>
      </c>
      <c r="F264" s="4">
        <f t="shared" si="17"/>
        <v>137.957875</v>
      </c>
      <c r="G264" s="4">
        <f t="shared" si="18"/>
        <v>11.375</v>
      </c>
      <c r="H264" s="23">
        <f t="shared" si="19"/>
        <v>1.7470457302030295E-2</v>
      </c>
      <c r="I264" s="2" cm="1">
        <f t="array" ref="I264">NSprice($L$4,$L$5,$L$6,$L$7,MOD(G264,0.5),(G264-MOD(G264,0.5))*2+1,B264/100,2)</f>
        <v>138.01994608388901</v>
      </c>
    </row>
    <row r="265" spans="1:9" ht="13.8">
      <c r="A265" s="25">
        <v>49720</v>
      </c>
      <c r="B265" s="28">
        <v>4.5</v>
      </c>
      <c r="C265" s="27">
        <v>137.28399999999999</v>
      </c>
      <c r="D265" s="26">
        <v>1.8140000000000001</v>
      </c>
      <c r="E265" s="4">
        <f t="shared" si="16"/>
        <v>0.5625</v>
      </c>
      <c r="F265" s="4">
        <f t="shared" si="17"/>
        <v>137.84649999999999</v>
      </c>
      <c r="G265" s="4">
        <f t="shared" si="18"/>
        <v>16.375</v>
      </c>
      <c r="H265" s="23">
        <f t="shared" si="19"/>
        <v>1.9275184936599032E-2</v>
      </c>
      <c r="I265" s="2" cm="1">
        <f t="array" ref="I265">NSprice($L$4,$L$5,$L$6,$L$7,MOD(G265,0.5),(G265-MOD(G265,0.5))*2+1,B265/100,2)</f>
        <v>137.1812883573171</v>
      </c>
    </row>
    <row r="266" spans="1:9" ht="13.8">
      <c r="A266" s="25">
        <v>50086</v>
      </c>
      <c r="B266" s="28">
        <v>4.75</v>
      </c>
      <c r="C266" s="27">
        <v>143.10599999999999</v>
      </c>
      <c r="D266" s="26">
        <v>1.827</v>
      </c>
      <c r="E266" s="4">
        <f t="shared" si="16"/>
        <v>0.59375</v>
      </c>
      <c r="F266" s="4">
        <f t="shared" si="17"/>
        <v>143.69974999999999</v>
      </c>
      <c r="G266" s="4">
        <f t="shared" si="18"/>
        <v>17.375</v>
      </c>
      <c r="H266" s="23">
        <f t="shared" si="19"/>
        <v>1.9604846440520348E-2</v>
      </c>
      <c r="I266" s="2" cm="1">
        <f t="array" ref="I266">NSprice($L$4,$L$5,$L$6,$L$7,MOD(G266,0.5),(G266-MOD(G266,0.5))*2+1,B266/100,2)</f>
        <v>142.34981350977739</v>
      </c>
    </row>
    <row r="267" spans="1:9" ht="13.8">
      <c r="A267" s="25">
        <v>50175</v>
      </c>
      <c r="B267" s="28">
        <v>5</v>
      </c>
      <c r="C267" s="27">
        <v>147.16999999999999</v>
      </c>
      <c r="D267" s="26">
        <v>1.8320000000000001</v>
      </c>
      <c r="E267" s="4">
        <f t="shared" si="16"/>
        <v>1.875</v>
      </c>
      <c r="F267" s="4">
        <f t="shared" si="17"/>
        <v>149.04499999999999</v>
      </c>
      <c r="G267" s="4">
        <f t="shared" si="18"/>
        <v>17.625</v>
      </c>
      <c r="H267" s="23">
        <f t="shared" si="19"/>
        <v>1.9684774947585425E-2</v>
      </c>
      <c r="I267" s="2" cm="1">
        <f t="array" ref="I267">NSprice($L$4,$L$5,$L$6,$L$7,MOD(G267,0.5),(G267-MOD(G267,0.5))*2+1,B267/100,2)</f>
        <v>147.78138967352248</v>
      </c>
    </row>
    <row r="268" spans="1:9" ht="13.8">
      <c r="A268" s="25">
        <v>50451</v>
      </c>
      <c r="B268" s="28">
        <v>4.375</v>
      </c>
      <c r="C268" s="27">
        <v>138.226</v>
      </c>
      <c r="D268" s="26">
        <v>1.875</v>
      </c>
      <c r="E268" s="4">
        <f t="shared" si="16"/>
        <v>0.546875</v>
      </c>
      <c r="F268" s="4">
        <f t="shared" si="17"/>
        <v>138.772875</v>
      </c>
      <c r="G268" s="4">
        <f t="shared" si="18"/>
        <v>18.375</v>
      </c>
      <c r="H268" s="23">
        <f t="shared" si="19"/>
        <v>1.9918398481266107E-2</v>
      </c>
      <c r="I268" s="2" cm="1">
        <f t="array" ref="I268">NSprice($L$4,$L$5,$L$6,$L$7,MOD(G268,0.5),(G268-MOD(G268,0.5))*2+1,B268/100,2)</f>
        <v>137.99918220424956</v>
      </c>
    </row>
    <row r="269" spans="1:9" ht="13.8">
      <c r="A269" s="25">
        <v>50540</v>
      </c>
      <c r="B269" s="28">
        <v>4.5</v>
      </c>
      <c r="C269" s="27">
        <v>140.316</v>
      </c>
      <c r="D269" s="26">
        <v>1.881</v>
      </c>
      <c r="E269" s="4">
        <f t="shared" si="16"/>
        <v>1.6875</v>
      </c>
      <c r="F269" s="4">
        <f t="shared" si="17"/>
        <v>142.0035</v>
      </c>
      <c r="G269" s="4">
        <f t="shared" si="18"/>
        <v>18.625</v>
      </c>
      <c r="H269" s="23">
        <f t="shared" si="19"/>
        <v>1.9994197156936899E-2</v>
      </c>
      <c r="I269" s="2" cm="1">
        <f t="array" ref="I269">NSprice($L$4,$L$5,$L$6,$L$7,MOD(G269,0.5),(G269-MOD(G269,0.5))*2+1,B269/100,2)</f>
        <v>141.41642575823494</v>
      </c>
    </row>
    <row r="270" spans="1:9" ht="13.8">
      <c r="A270" s="25">
        <v>50816</v>
      </c>
      <c r="B270" s="28">
        <v>3.5</v>
      </c>
      <c r="C270" s="27">
        <v>125.09</v>
      </c>
      <c r="D270" s="26">
        <v>1.93</v>
      </c>
      <c r="E270" s="4">
        <f t="shared" si="16"/>
        <v>0.4375</v>
      </c>
      <c r="F270" s="4">
        <f t="shared" si="17"/>
        <v>125.5275</v>
      </c>
      <c r="G270" s="4">
        <f t="shared" si="18"/>
        <v>19.375</v>
      </c>
      <c r="H270" s="23">
        <f t="shared" si="19"/>
        <v>2.0215329900240452E-2</v>
      </c>
      <c r="I270" s="2" cm="1">
        <f t="array" ref="I270">NSprice($L$4,$L$5,$L$6,$L$7,MOD(G270,0.5),(G270-MOD(G270,0.5))*2+1,B270/100,2)</f>
        <v>124.89279316650254</v>
      </c>
    </row>
    <row r="271" spans="1:9" ht="13.8">
      <c r="A271" s="25">
        <v>50905</v>
      </c>
      <c r="B271" s="28">
        <v>4.25</v>
      </c>
      <c r="C271" s="27">
        <v>137.24199999999999</v>
      </c>
      <c r="D271" s="26">
        <v>1.929</v>
      </c>
      <c r="E271" s="4">
        <f t="shared" si="16"/>
        <v>1.59375</v>
      </c>
      <c r="F271" s="4">
        <f t="shared" si="17"/>
        <v>138.83574999999999</v>
      </c>
      <c r="G271" s="4">
        <f t="shared" si="18"/>
        <v>19.625</v>
      </c>
      <c r="H271" s="23">
        <f t="shared" si="19"/>
        <v>2.0286955871032034E-2</v>
      </c>
      <c r="I271" s="2" cm="1">
        <f t="array" ref="I271">NSprice($L$4,$L$5,$L$6,$L$7,MOD(G271,0.5),(G271-MOD(G271,0.5))*2+1,B271/100,2)</f>
        <v>138.50988240669923</v>
      </c>
    </row>
    <row r="272" spans="1:9" ht="13.8">
      <c r="A272" s="25">
        <v>50997</v>
      </c>
      <c r="B272" s="28">
        <v>4.5</v>
      </c>
      <c r="C272" s="27">
        <v>142.08199999999999</v>
      </c>
      <c r="D272" s="26">
        <v>1.93</v>
      </c>
      <c r="E272" s="4">
        <f t="shared" si="16"/>
        <v>0.5625</v>
      </c>
      <c r="F272" s="4">
        <f t="shared" si="17"/>
        <v>142.64449999999999</v>
      </c>
      <c r="G272" s="4">
        <f t="shared" si="18"/>
        <v>19.875</v>
      </c>
      <c r="H272" s="23">
        <f t="shared" si="19"/>
        <v>2.0357544370591237E-2</v>
      </c>
      <c r="I272" s="2" cm="1">
        <f t="array" ref="I272">NSprice($L$4,$L$5,$L$6,$L$7,MOD(G272,0.5),(G272-MOD(G272,0.5))*2+1,B272/100,2)</f>
        <v>141.89694761843072</v>
      </c>
    </row>
    <row r="273" spans="1:9" ht="13.8">
      <c r="A273" s="25">
        <v>51089</v>
      </c>
      <c r="B273" s="28">
        <v>4.375</v>
      </c>
      <c r="C273" s="27">
        <v>140.1</v>
      </c>
      <c r="D273" s="26">
        <v>1.9450000000000001</v>
      </c>
      <c r="E273" s="4">
        <f t="shared" si="16"/>
        <v>1.640625</v>
      </c>
      <c r="F273" s="4">
        <f t="shared" si="17"/>
        <v>141.74062499999999</v>
      </c>
      <c r="G273" s="4">
        <f t="shared" si="18"/>
        <v>20.125</v>
      </c>
      <c r="H273" s="23">
        <f t="shared" si="19"/>
        <v>2.042710028253009E-2</v>
      </c>
      <c r="I273" s="2" cm="1">
        <f t="array" ref="I273">NSprice($L$4,$L$5,$L$6,$L$7,MOD(G273,0.5),(G273-MOD(G273,0.5))*2+1,B273/100,2)</f>
        <v>141.19362990286277</v>
      </c>
    </row>
    <row r="274" spans="1:9" ht="13.8">
      <c r="A274" s="25">
        <v>51181</v>
      </c>
      <c r="B274" s="28">
        <v>4.625</v>
      </c>
      <c r="C274" s="27">
        <v>144.26</v>
      </c>
      <c r="D274" s="26">
        <v>1.9490000000000001</v>
      </c>
      <c r="E274" s="4">
        <f t="shared" si="16"/>
        <v>0.578125</v>
      </c>
      <c r="F274" s="4">
        <f t="shared" si="17"/>
        <v>144.83812499999999</v>
      </c>
      <c r="G274" s="4">
        <f t="shared" si="18"/>
        <v>20.375</v>
      </c>
      <c r="H274" s="23">
        <f t="shared" si="19"/>
        <v>2.0495629581901306E-2</v>
      </c>
      <c r="I274" s="2" cm="1">
        <f t="array" ref="I274">NSprice($L$4,$L$5,$L$6,$L$7,MOD(G274,0.5),(G274-MOD(G274,0.5))*2+1,B274/100,2)</f>
        <v>144.64687282269637</v>
      </c>
    </row>
    <row r="275" spans="1:9" ht="13.8">
      <c r="A275" s="25">
        <v>51271</v>
      </c>
      <c r="B275" s="28">
        <v>4.375</v>
      </c>
      <c r="C275" s="27">
        <v>140.20599999999999</v>
      </c>
      <c r="D275" s="26">
        <v>1.9670000000000001</v>
      </c>
      <c r="E275" s="4">
        <f t="shared" si="16"/>
        <v>1.640625</v>
      </c>
      <c r="F275" s="4">
        <f t="shared" si="17"/>
        <v>141.84662499999999</v>
      </c>
      <c r="G275" s="4">
        <f t="shared" si="18"/>
        <v>20.625</v>
      </c>
      <c r="H275" s="23">
        <f t="shared" si="19"/>
        <v>2.056313922922498E-2</v>
      </c>
      <c r="I275" s="2" cm="1">
        <f t="array" ref="I275">NSprice($L$4,$L$5,$L$6,$L$7,MOD(G275,0.5),(G275-MOD(G275,0.5))*2+1,B275/100,2)</f>
        <v>141.76752820003173</v>
      </c>
    </row>
    <row r="276" spans="1:9" ht="13.8">
      <c r="A276" s="25">
        <v>51363</v>
      </c>
      <c r="B276" s="28">
        <v>3.875</v>
      </c>
      <c r="C276" s="27">
        <v>132.07599999999999</v>
      </c>
      <c r="D276" s="26">
        <v>1.9810000000000001</v>
      </c>
      <c r="E276" s="4">
        <f t="shared" si="16"/>
        <v>0.484375</v>
      </c>
      <c r="F276" s="4">
        <f t="shared" si="17"/>
        <v>132.56037499999999</v>
      </c>
      <c r="G276" s="4">
        <f t="shared" si="18"/>
        <v>20.875</v>
      </c>
      <c r="H276" s="23">
        <f t="shared" si="19"/>
        <v>2.0629637072214754E-2</v>
      </c>
      <c r="I276" s="2" cm="1">
        <f t="array" ref="I276">NSprice($L$4,$L$5,$L$6,$L$7,MOD(G276,0.5),(G276-MOD(G276,0.5))*2+1,B276/100,2)</f>
        <v>132.2769924956722</v>
      </c>
    </row>
    <row r="277" spans="1:9" ht="13.8">
      <c r="A277" s="25">
        <v>51455</v>
      </c>
      <c r="B277" s="28">
        <v>4.25</v>
      </c>
      <c r="C277" s="27">
        <v>138.26</v>
      </c>
      <c r="D277" s="26">
        <v>1.99</v>
      </c>
      <c r="E277" s="4">
        <f t="shared" si="16"/>
        <v>1.59375</v>
      </c>
      <c r="F277" s="4">
        <f t="shared" si="17"/>
        <v>139.85374999999999</v>
      </c>
      <c r="G277" s="4">
        <f t="shared" si="18"/>
        <v>21.125</v>
      </c>
      <c r="H277" s="23">
        <f t="shared" si="19"/>
        <v>2.0695131754693313E-2</v>
      </c>
      <c r="I277" s="2" cm="1">
        <f t="array" ref="I277">NSprice($L$4,$L$5,$L$6,$L$7,MOD(G277,0.5),(G277-MOD(G277,0.5))*2+1,B277/100,2)</f>
        <v>140.10936772438708</v>
      </c>
    </row>
    <row r="278" spans="1:9" ht="13.8">
      <c r="A278" s="25">
        <v>51547</v>
      </c>
      <c r="B278" s="28">
        <v>4.75</v>
      </c>
      <c r="C278" s="27">
        <v>147.27600000000001</v>
      </c>
      <c r="D278" s="26">
        <v>1.9890000000000001</v>
      </c>
      <c r="E278" s="4">
        <f t="shared" si="16"/>
        <v>0.59375</v>
      </c>
      <c r="F278" s="4">
        <f t="shared" si="17"/>
        <v>147.86975000000001</v>
      </c>
      <c r="G278" s="4">
        <f t="shared" si="18"/>
        <v>21.375</v>
      </c>
      <c r="H278" s="23">
        <f t="shared" si="19"/>
        <v>2.0759632632219322E-2</v>
      </c>
      <c r="I278" s="2" cm="1">
        <f t="array" ref="I278">NSprice($L$4,$L$5,$L$6,$L$7,MOD(G278,0.5),(G278-MOD(G278,0.5))*2+1,B278/100,2)</f>
        <v>148.14476246860028</v>
      </c>
    </row>
    <row r="279" spans="1:9" ht="13.8">
      <c r="A279" s="25">
        <v>51636</v>
      </c>
      <c r="B279" s="28">
        <v>4.375</v>
      </c>
      <c r="C279" s="27">
        <v>141.124</v>
      </c>
      <c r="D279" s="26">
        <v>2.0059999999999998</v>
      </c>
      <c r="E279" s="4">
        <f t="shared" si="16"/>
        <v>1.640625</v>
      </c>
      <c r="F279" s="4">
        <f t="shared" si="17"/>
        <v>142.764625</v>
      </c>
      <c r="G279" s="4">
        <f t="shared" si="18"/>
        <v>21.625</v>
      </c>
      <c r="H279" s="23">
        <f t="shared" si="19"/>
        <v>2.082314969397854E-2</v>
      </c>
      <c r="I279" s="2" cm="1">
        <f t="array" ref="I279">NSprice($L$4,$L$5,$L$6,$L$7,MOD(G279,0.5),(G279-MOD(G279,0.5))*2+1,B279/100,2)</f>
        <v>142.88349298112257</v>
      </c>
    </row>
    <row r="280" spans="1:9" ht="13.8">
      <c r="A280" s="25">
        <v>51728</v>
      </c>
      <c r="B280" s="28">
        <v>3.75</v>
      </c>
      <c r="C280" s="27">
        <v>130.11199999999999</v>
      </c>
      <c r="D280" s="26">
        <v>2.0249999999999999</v>
      </c>
      <c r="E280" s="4">
        <f t="shared" si="16"/>
        <v>0.46875</v>
      </c>
      <c r="F280" s="4">
        <f t="shared" si="17"/>
        <v>130.58074999999999</v>
      </c>
      <c r="G280" s="4">
        <f t="shared" si="18"/>
        <v>21.875</v>
      </c>
      <c r="H280" s="23">
        <f t="shared" si="19"/>
        <v>2.0885693490520184E-2</v>
      </c>
      <c r="I280" s="2" cm="1">
        <f t="array" ref="I280">NSprice($L$4,$L$5,$L$6,$L$7,MOD(G280,0.5),(G280-MOD(G280,0.5))*2+1,B280/100,2)</f>
        <v>130.81441153864986</v>
      </c>
    </row>
    <row r="281" spans="1:9" ht="13.8">
      <c r="A281" s="25">
        <v>51820</v>
      </c>
      <c r="B281" s="28">
        <v>3.125</v>
      </c>
      <c r="C281" s="27">
        <v>119.062</v>
      </c>
      <c r="D281" s="26">
        <v>2.0419999999999998</v>
      </c>
      <c r="E281" s="4">
        <f t="shared" si="16"/>
        <v>1.171875</v>
      </c>
      <c r="F281" s="4">
        <f t="shared" si="17"/>
        <v>120.233875</v>
      </c>
      <c r="G281" s="4">
        <f t="shared" si="18"/>
        <v>22.125</v>
      </c>
      <c r="H281" s="23">
        <f t="shared" si="19"/>
        <v>2.0947275066946585E-2</v>
      </c>
      <c r="I281" s="2" cm="1">
        <f t="array" ref="I281">NSprice($L$4,$L$5,$L$6,$L$7,MOD(G281,0.5),(G281-MOD(G281,0.5))*2+1,B281/100,2)</f>
        <v>120.42184905794964</v>
      </c>
    </row>
    <row r="282" spans="1:9" ht="13.8">
      <c r="A282" s="25">
        <v>51912</v>
      </c>
      <c r="B282" s="28">
        <v>3.125</v>
      </c>
      <c r="C282" s="27">
        <v>119.08199999999999</v>
      </c>
      <c r="D282" s="26">
        <v>2.048</v>
      </c>
      <c r="E282" s="4">
        <f t="shared" si="16"/>
        <v>0.390625</v>
      </c>
      <c r="F282" s="4">
        <f t="shared" si="17"/>
        <v>119.47262499999999</v>
      </c>
      <c r="G282" s="4">
        <f t="shared" si="18"/>
        <v>22.375</v>
      </c>
      <c r="H282" s="23">
        <f t="shared" si="19"/>
        <v>2.1007905901189061E-2</v>
      </c>
      <c r="I282" s="2" cm="1">
        <f t="array" ref="I282">NSprice($L$4,$L$5,$L$6,$L$7,MOD(G282,0.5),(G282-MOD(G282,0.5))*2+1,B282/100,2)</f>
        <v>119.7138600896684</v>
      </c>
    </row>
    <row r="283" spans="1:9" ht="13.8">
      <c r="A283" s="25">
        <v>52001</v>
      </c>
      <c r="B283" s="28">
        <v>3</v>
      </c>
      <c r="C283" s="27">
        <v>116.306</v>
      </c>
      <c r="D283" s="26">
        <v>2.0579999999999998</v>
      </c>
      <c r="E283" s="4">
        <f t="shared" si="16"/>
        <v>1.125</v>
      </c>
      <c r="F283" s="4">
        <f t="shared" si="17"/>
        <v>117.431</v>
      </c>
      <c r="G283" s="4">
        <f t="shared" si="18"/>
        <v>22.625</v>
      </c>
      <c r="H283" s="23">
        <f t="shared" si="19"/>
        <v>2.1067597847026592E-2</v>
      </c>
      <c r="I283" s="2" cm="1">
        <f t="array" ref="I283">NSprice($L$4,$L$5,$L$6,$L$7,MOD(G283,0.5),(G283-MOD(G283,0.5))*2+1,B283/100,2)</f>
        <v>118.22796855833161</v>
      </c>
    </row>
    <row r="284" spans="1:9" ht="13.8">
      <c r="A284" s="25">
        <v>52093</v>
      </c>
      <c r="B284" s="28">
        <v>2.75</v>
      </c>
      <c r="C284" s="27">
        <v>112.10599999999999</v>
      </c>
      <c r="D284" s="26">
        <v>2.0699999999999998</v>
      </c>
      <c r="E284" s="4">
        <f t="shared" si="16"/>
        <v>0.34375</v>
      </c>
      <c r="F284" s="4">
        <f t="shared" si="17"/>
        <v>112.44974999999999</v>
      </c>
      <c r="G284" s="4">
        <f t="shared" si="18"/>
        <v>22.875</v>
      </c>
      <c r="H284" s="23">
        <f t="shared" si="19"/>
        <v>2.1126363081525917E-2</v>
      </c>
      <c r="I284" s="2" cm="1">
        <f t="array" ref="I284">NSprice($L$4,$L$5,$L$6,$L$7,MOD(G284,0.5),(G284-MOD(G284,0.5))*2+1,B284/100,2)</f>
        <v>112.87550628031363</v>
      </c>
    </row>
    <row r="285" spans="1:9" ht="13.8">
      <c r="A285" s="25">
        <v>52185</v>
      </c>
      <c r="B285" s="28">
        <v>2.75</v>
      </c>
      <c r="C285" s="27">
        <v>112.072</v>
      </c>
      <c r="D285" s="26">
        <v>2.081</v>
      </c>
      <c r="E285" s="4">
        <f t="shared" si="16"/>
        <v>1.03125</v>
      </c>
      <c r="F285" s="4">
        <f t="shared" si="17"/>
        <v>113.10325</v>
      </c>
      <c r="G285" s="4">
        <f t="shared" si="18"/>
        <v>23.125</v>
      </c>
      <c r="H285" s="23">
        <f t="shared" si="19"/>
        <v>2.1184214056602233E-2</v>
      </c>
      <c r="I285" s="2" cm="1">
        <f t="array" ref="I285">NSprice($L$4,$L$5,$L$6,$L$7,MOD(G285,0.5),(G285-MOD(G285,0.5))*2+1,B285/100,2)</f>
        <v>113.57588701145076</v>
      </c>
    </row>
    <row r="286" spans="1:9" ht="13.8">
      <c r="A286" s="25">
        <v>52277</v>
      </c>
      <c r="B286" s="28">
        <v>3.125</v>
      </c>
      <c r="C286" s="27">
        <v>119.09</v>
      </c>
      <c r="D286" s="26">
        <v>2.0790000000000002</v>
      </c>
      <c r="E286" s="4">
        <f t="shared" si="16"/>
        <v>0.390625</v>
      </c>
      <c r="F286" s="4">
        <f t="shared" si="17"/>
        <v>119.480625</v>
      </c>
      <c r="G286" s="4">
        <f t="shared" si="18"/>
        <v>23.375</v>
      </c>
      <c r="H286" s="23">
        <f t="shared" si="19"/>
        <v>2.1241163454419211E-2</v>
      </c>
      <c r="I286" s="2" cm="1">
        <f t="array" ref="I286">NSprice($L$4,$L$5,$L$6,$L$7,MOD(G286,0.5),(G286-MOD(G286,0.5))*2+1,B286/100,2)</f>
        <v>119.99657016868724</v>
      </c>
    </row>
    <row r="287" spans="1:9" ht="13.8">
      <c r="A287" s="25">
        <v>52366</v>
      </c>
      <c r="B287" s="28">
        <v>2.875</v>
      </c>
      <c r="C287" s="27">
        <v>114.212</v>
      </c>
      <c r="D287" s="26">
        <v>2.0859999999999999</v>
      </c>
      <c r="E287" s="4">
        <f t="shared" si="16"/>
        <v>1.078125</v>
      </c>
      <c r="F287" s="4">
        <f t="shared" si="17"/>
        <v>115.290125</v>
      </c>
      <c r="G287" s="4">
        <f t="shared" si="18"/>
        <v>23.625</v>
      </c>
      <c r="H287" s="23">
        <f t="shared" si="19"/>
        <v>2.1297224146365114E-2</v>
      </c>
      <c r="I287" s="2" cm="1">
        <f t="array" ref="I287">NSprice($L$4,$L$5,$L$6,$L$7,MOD(G287,0.5),(G287-MOD(G287,0.5))*2+1,B287/100,2)</f>
        <v>116.01539740471918</v>
      </c>
    </row>
    <row r="288" spans="1:9" ht="13.8">
      <c r="A288" s="25">
        <v>52458</v>
      </c>
      <c r="B288" s="28">
        <v>3.625</v>
      </c>
      <c r="C288" s="27">
        <v>128.31</v>
      </c>
      <c r="D288" s="26">
        <v>2.0790000000000002</v>
      </c>
      <c r="E288" s="4">
        <f t="shared" si="16"/>
        <v>0.453125</v>
      </c>
      <c r="F288" s="4">
        <f t="shared" si="17"/>
        <v>128.763125</v>
      </c>
      <c r="G288" s="4">
        <f t="shared" si="18"/>
        <v>23.875</v>
      </c>
      <c r="H288" s="23">
        <f t="shared" si="19"/>
        <v>2.1352409155358808E-2</v>
      </c>
      <c r="I288" s="2" cm="1">
        <f t="array" ref="I288">NSprice($L$4,$L$5,$L$6,$L$7,MOD(G288,0.5),(G288-MOD(G288,0.5))*2+1,B288/100,2)</f>
        <v>129.74351478302358</v>
      </c>
    </row>
    <row r="289" spans="1:9" ht="13.8">
      <c r="A289" s="25">
        <v>52550</v>
      </c>
      <c r="B289" s="28">
        <v>3.75</v>
      </c>
      <c r="C289" s="27">
        <v>131.17400000000001</v>
      </c>
      <c r="D289" s="26">
        <v>2.08</v>
      </c>
      <c r="E289" s="4">
        <f t="shared" si="16"/>
        <v>1.40625</v>
      </c>
      <c r="F289" s="4">
        <f t="shared" si="17"/>
        <v>132.58025000000001</v>
      </c>
      <c r="G289" s="4">
        <f t="shared" si="18"/>
        <v>24.125</v>
      </c>
      <c r="H289" s="23">
        <f t="shared" si="19"/>
        <v>2.1406731621255479E-2</v>
      </c>
      <c r="I289" s="2" cm="1">
        <f t="array" ref="I289">NSprice($L$4,$L$5,$L$6,$L$7,MOD(G289,0.5),(G289-MOD(G289,0.5))*2+1,B289/100,2)</f>
        <v>133.24324752271485</v>
      </c>
    </row>
    <row r="290" spans="1:9" ht="13.8">
      <c r="A290" s="25">
        <v>52642</v>
      </c>
      <c r="B290" s="28">
        <v>3.625</v>
      </c>
      <c r="C290" s="27">
        <v>129.09200000000001</v>
      </c>
      <c r="D290" s="26">
        <v>2.0859999999999999</v>
      </c>
      <c r="E290" s="4">
        <f t="shared" si="16"/>
        <v>0.453125</v>
      </c>
      <c r="F290" s="4">
        <f t="shared" si="17"/>
        <v>129.54512500000001</v>
      </c>
      <c r="G290" s="4">
        <f t="shared" si="18"/>
        <v>24.375</v>
      </c>
      <c r="H290" s="23">
        <f t="shared" si="19"/>
        <v>2.1460204769136765E-2</v>
      </c>
      <c r="I290" s="2" cm="1">
        <f t="array" ref="I290">NSprice($L$4,$L$5,$L$6,$L$7,MOD(G290,0.5),(G290-MOD(G290,0.5))*2+1,B290/100,2)</f>
        <v>130.02399630832883</v>
      </c>
    </row>
    <row r="291" spans="1:9" ht="13.8">
      <c r="A291" s="25">
        <v>52732</v>
      </c>
      <c r="B291" s="28">
        <v>3.375</v>
      </c>
      <c r="C291" s="27">
        <v>124.18</v>
      </c>
      <c r="D291" s="26">
        <v>2.093</v>
      </c>
      <c r="E291" s="4">
        <f t="shared" si="16"/>
        <v>1.265625</v>
      </c>
      <c r="F291" s="4">
        <f t="shared" si="17"/>
        <v>125.44562500000001</v>
      </c>
      <c r="G291" s="4">
        <f t="shared" si="18"/>
        <v>24.625</v>
      </c>
      <c r="H291" s="23">
        <f t="shared" si="19"/>
        <v>2.1512841880284031E-2</v>
      </c>
      <c r="I291" s="2" cm="1">
        <f t="array" ref="I291">NSprice($L$4,$L$5,$L$6,$L$7,MOD(G291,0.5),(G291-MOD(G291,0.5))*2+1,B291/100,2)</f>
        <v>126.08961978880127</v>
      </c>
    </row>
    <row r="292" spans="1:9" ht="13.8">
      <c r="A292" s="25">
        <v>52824</v>
      </c>
      <c r="B292" s="28">
        <v>3.125</v>
      </c>
      <c r="C292" s="27">
        <v>119.262</v>
      </c>
      <c r="D292" s="26">
        <v>2.0979999999999999</v>
      </c>
      <c r="E292" s="4">
        <f t="shared" si="16"/>
        <v>0.390625</v>
      </c>
      <c r="F292" s="4">
        <f t="shared" si="17"/>
        <v>119.652625</v>
      </c>
      <c r="G292" s="4">
        <f t="shared" si="18"/>
        <v>24.875</v>
      </c>
      <c r="H292" s="23">
        <f t="shared" si="19"/>
        <v>2.156465626564668E-2</v>
      </c>
      <c r="I292" s="2" cm="1">
        <f t="array" ref="I292">NSprice($L$4,$L$5,$L$6,$L$7,MOD(G292,0.5),(G292-MOD(G292,0.5))*2+1,B292/100,2)</f>
        <v>120.39371519589787</v>
      </c>
    </row>
    <row r="293" spans="1:9" ht="13.8">
      <c r="A293" s="25">
        <v>52916</v>
      </c>
      <c r="B293" s="28">
        <v>3</v>
      </c>
      <c r="C293" s="27">
        <v>117.146</v>
      </c>
      <c r="D293" s="26">
        <v>2.1019999999999999</v>
      </c>
      <c r="E293" s="4">
        <f t="shared" si="16"/>
        <v>1.125</v>
      </c>
      <c r="F293" s="4">
        <f t="shared" si="17"/>
        <v>118.271</v>
      </c>
      <c r="G293" s="4">
        <f t="shared" si="18"/>
        <v>25.125</v>
      </c>
      <c r="H293" s="23">
        <f t="shared" si="19"/>
        <v>2.1615661241629596E-2</v>
      </c>
      <c r="I293" s="2" cm="1">
        <f t="array" ref="I293">NSprice($L$4,$L$5,$L$6,$L$7,MOD(G293,0.5),(G293-MOD(G293,0.5))*2+1,B293/100,2)</f>
        <v>118.71258755307583</v>
      </c>
    </row>
    <row r="294" spans="1:9" ht="13.8">
      <c r="A294" s="25">
        <v>53008</v>
      </c>
      <c r="B294" s="28">
        <v>2.5</v>
      </c>
      <c r="C294" s="27">
        <v>107.20399999999999</v>
      </c>
      <c r="D294" s="26">
        <v>2.11</v>
      </c>
      <c r="E294" s="4">
        <f t="shared" si="16"/>
        <v>0.3125</v>
      </c>
      <c r="F294" s="4">
        <f t="shared" si="17"/>
        <v>107.51649999999999</v>
      </c>
      <c r="G294" s="4">
        <f t="shared" si="18"/>
        <v>25.375</v>
      </c>
      <c r="H294" s="23">
        <f t="shared" si="19"/>
        <v>2.1665870108035484E-2</v>
      </c>
      <c r="I294" s="2" cm="1">
        <f t="array" ref="I294">NSprice($L$4,$L$5,$L$6,$L$7,MOD(G294,0.5),(G294-MOD(G294,0.5))*2+1,B294/100,2)</f>
        <v>107.95747295094654</v>
      </c>
    </row>
    <row r="295" spans="1:9" ht="13.8">
      <c r="A295" s="25">
        <v>53097</v>
      </c>
      <c r="B295" s="28">
        <v>3</v>
      </c>
      <c r="C295" s="27">
        <v>117.246</v>
      </c>
      <c r="D295" s="26">
        <v>2.1</v>
      </c>
      <c r="E295" s="4">
        <f t="shared" si="16"/>
        <v>1.125</v>
      </c>
      <c r="F295" s="4">
        <f t="shared" si="17"/>
        <v>118.371</v>
      </c>
      <c r="G295" s="4">
        <f t="shared" si="18"/>
        <v>25.625</v>
      </c>
      <c r="H295" s="23">
        <f t="shared" si="19"/>
        <v>2.1715296128008467E-2</v>
      </c>
      <c r="I295" s="2" cm="1">
        <f t="array" ref="I295">NSprice($L$4,$L$5,$L$6,$L$7,MOD(G295,0.5),(G295-MOD(G295,0.5))*2+1,B295/100,2)</f>
        <v>118.80140324150636</v>
      </c>
    </row>
    <row r="296" spans="1:9" ht="13.8">
      <c r="A296" s="25">
        <v>53189</v>
      </c>
      <c r="B296" s="28">
        <v>2.875</v>
      </c>
      <c r="C296" s="27">
        <v>115.086</v>
      </c>
      <c r="D296" s="26">
        <v>2.1059999999999999</v>
      </c>
      <c r="E296" s="4">
        <f t="shared" si="16"/>
        <v>0.359375</v>
      </c>
      <c r="F296" s="4">
        <f t="shared" si="17"/>
        <v>115.445375</v>
      </c>
      <c r="G296" s="4">
        <f t="shared" si="18"/>
        <v>25.875</v>
      </c>
      <c r="H296" s="23">
        <f t="shared" si="19"/>
        <v>2.1763952509835625E-2</v>
      </c>
      <c r="I296" s="2" cm="1">
        <f t="array" ref="I296">NSprice($L$4,$L$5,$L$6,$L$7,MOD(G296,0.5),(G296-MOD(G296,0.5))*2+1,B296/100,2)</f>
        <v>115.54693574790345</v>
      </c>
    </row>
    <row r="297" spans="1:9" ht="13.8">
      <c r="A297" s="25">
        <v>53281</v>
      </c>
      <c r="B297" s="28">
        <v>3</v>
      </c>
      <c r="C297" s="27">
        <v>117.316</v>
      </c>
      <c r="D297" s="26">
        <v>2.101</v>
      </c>
      <c r="E297" s="4">
        <f t="shared" si="16"/>
        <v>1.125</v>
      </c>
      <c r="F297" s="4">
        <f t="shared" si="17"/>
        <v>118.441</v>
      </c>
      <c r="G297" s="4">
        <f t="shared" si="18"/>
        <v>26.125</v>
      </c>
      <c r="H297" s="23">
        <f t="shared" si="19"/>
        <v>2.1811852390472428E-2</v>
      </c>
      <c r="I297" s="2" cm="1">
        <f t="array" ref="I297">NSprice($L$4,$L$5,$L$6,$L$7,MOD(G297,0.5),(G297-MOD(G297,0.5))*2+1,B297/100,2)</f>
        <v>118.88793753418906</v>
      </c>
    </row>
    <row r="298" spans="1:9" ht="13.8">
      <c r="A298" s="25">
        <v>53373</v>
      </c>
      <c r="B298" s="28">
        <v>2.5</v>
      </c>
      <c r="C298" s="27">
        <v>107.22199999999999</v>
      </c>
      <c r="D298" s="26">
        <v>2.1179999999999999</v>
      </c>
      <c r="E298" s="4">
        <f t="shared" si="16"/>
        <v>0.3125</v>
      </c>
      <c r="F298" s="4">
        <f t="shared" si="17"/>
        <v>107.53449999999999</v>
      </c>
      <c r="G298" s="4">
        <f t="shared" si="18"/>
        <v>26.375</v>
      </c>
      <c r="H298" s="23">
        <f t="shared" si="19"/>
        <v>2.1859008820667058E-2</v>
      </c>
      <c r="I298" s="2" cm="1">
        <f t="array" ref="I298">NSprice($L$4,$L$5,$L$6,$L$7,MOD(G298,0.5),(G298-MOD(G298,0.5))*2+1,B298/100,2)</f>
        <v>107.84776305006596</v>
      </c>
    </row>
    <row r="299" spans="1:9" ht="13.8">
      <c r="A299" s="25">
        <v>53462</v>
      </c>
      <c r="B299" s="28">
        <v>2.5</v>
      </c>
      <c r="C299" s="27">
        <v>107.232</v>
      </c>
      <c r="D299" s="26">
        <v>2.1190000000000002</v>
      </c>
      <c r="E299" s="4">
        <f t="shared" si="16"/>
        <v>0.9375</v>
      </c>
      <c r="F299" s="4">
        <f t="shared" si="17"/>
        <v>108.1695</v>
      </c>
      <c r="G299" s="4">
        <f t="shared" si="18"/>
        <v>26.625</v>
      </c>
      <c r="H299" s="23">
        <f t="shared" si="19"/>
        <v>2.1905434751566706E-2</v>
      </c>
      <c r="I299" s="2" cm="1">
        <f t="array" ref="I299">NSprice($L$4,$L$5,$L$6,$L$7,MOD(G299,0.5),(G299-MOD(G299,0.5))*2+1,B299/100,2)</f>
        <v>108.44514090025034</v>
      </c>
    </row>
    <row r="300" spans="1:9" ht="13.8">
      <c r="A300" s="25">
        <v>53554</v>
      </c>
      <c r="B300" s="28">
        <v>2.25</v>
      </c>
      <c r="C300" s="27">
        <v>102.18</v>
      </c>
      <c r="D300" s="26">
        <v>2.1240000000000001</v>
      </c>
      <c r="E300" s="4">
        <f t="shared" si="16"/>
        <v>0.28125</v>
      </c>
      <c r="F300" s="4">
        <f t="shared" si="17"/>
        <v>102.46125000000001</v>
      </c>
      <c r="G300" s="4">
        <f t="shared" si="18"/>
        <v>26.875</v>
      </c>
      <c r="H300" s="23">
        <f t="shared" si="19"/>
        <v>2.1951143022696983E-2</v>
      </c>
      <c r="I300" s="2" cm="1">
        <f t="array" ref="I300">NSprice($L$4,$L$5,$L$6,$L$7,MOD(G300,0.5),(G300-MOD(G300,0.5))*2+1,B300/100,2)</f>
        <v>102.55692250070415</v>
      </c>
    </row>
    <row r="301" spans="1:9" ht="13.8">
      <c r="A301" s="25">
        <v>53646</v>
      </c>
      <c r="B301" s="28">
        <v>2.875</v>
      </c>
      <c r="C301" s="27">
        <v>115.23399999999999</v>
      </c>
      <c r="D301" s="26">
        <v>2.11</v>
      </c>
      <c r="E301" s="4">
        <f t="shared" si="16"/>
        <v>1.078125</v>
      </c>
      <c r="F301" s="4">
        <f t="shared" si="17"/>
        <v>116.31212499999999</v>
      </c>
      <c r="G301" s="4">
        <f t="shared" si="18"/>
        <v>27.125</v>
      </c>
      <c r="H301" s="23">
        <f t="shared" si="19"/>
        <v>2.1996146351212564E-2</v>
      </c>
      <c r="I301" s="2" cm="1">
        <f t="array" ref="I301">NSprice($L$4,$L$5,$L$6,$L$7,MOD(G301,0.5),(G301-MOD(G301,0.5))*2+1,B301/100,2)</f>
        <v>116.3885207035157</v>
      </c>
    </row>
    <row r="302" spans="1:9" ht="13.8">
      <c r="A302" s="25">
        <v>53738</v>
      </c>
      <c r="B302" s="28">
        <v>3</v>
      </c>
      <c r="C302" s="27">
        <v>118.17400000000001</v>
      </c>
      <c r="D302" s="26">
        <v>2.105</v>
      </c>
      <c r="E302" s="4">
        <f t="shared" si="16"/>
        <v>0.375</v>
      </c>
      <c r="F302" s="4">
        <f t="shared" si="17"/>
        <v>118.54900000000001</v>
      </c>
      <c r="G302" s="4">
        <f t="shared" si="18"/>
        <v>27.375</v>
      </c>
      <c r="H302" s="23">
        <f t="shared" si="19"/>
        <v>2.2040457322324243E-2</v>
      </c>
      <c r="I302" s="2" cm="1">
        <f t="array" ref="I302">NSprice($L$4,$L$5,$L$6,$L$7,MOD(G302,0.5),(G302-MOD(G302,0.5))*2+1,B302/100,2)</f>
        <v>118.34526605569685</v>
      </c>
    </row>
    <row r="303" spans="1:9" ht="13.8">
      <c r="A303" s="25">
        <v>53827</v>
      </c>
      <c r="B303" s="28">
        <v>3</v>
      </c>
      <c r="C303" s="27">
        <v>118.16</v>
      </c>
      <c r="D303" s="26">
        <v>2.113</v>
      </c>
      <c r="E303" s="4">
        <f t="shared" si="16"/>
        <v>1.125</v>
      </c>
      <c r="F303" s="4">
        <f t="shared" si="17"/>
        <v>119.285</v>
      </c>
      <c r="G303" s="4">
        <f t="shared" si="18"/>
        <v>27.625</v>
      </c>
      <c r="H303" s="23">
        <f t="shared" si="19"/>
        <v>2.2084088380813747E-2</v>
      </c>
      <c r="I303" s="2" cm="1">
        <f t="array" ref="I303">NSprice($L$4,$L$5,$L$6,$L$7,MOD(G303,0.5),(G303-MOD(G303,0.5))*2+1,B303/100,2)</f>
        <v>119.13525317196547</v>
      </c>
    </row>
    <row r="304" spans="1:9" ht="13.8">
      <c r="A304" s="25">
        <v>53919</v>
      </c>
      <c r="B304" s="28">
        <v>2.75</v>
      </c>
      <c r="C304" s="27">
        <v>113.07</v>
      </c>
      <c r="D304" s="26">
        <v>2.1190000000000002</v>
      </c>
      <c r="E304" s="4">
        <f t="shared" si="16"/>
        <v>0.34375</v>
      </c>
      <c r="F304" s="4">
        <f t="shared" si="17"/>
        <v>113.41374999999999</v>
      </c>
      <c r="G304" s="4">
        <f t="shared" si="18"/>
        <v>27.875</v>
      </c>
      <c r="H304" s="23">
        <f t="shared" si="19"/>
        <v>2.21270518235538E-2</v>
      </c>
      <c r="I304" s="2" cm="1">
        <f t="array" ref="I304">NSprice($L$4,$L$5,$L$6,$L$7,MOD(G304,0.5),(G304-MOD(G304,0.5))*2+1,B304/100,2)</f>
        <v>113.05342045241406</v>
      </c>
    </row>
    <row r="305" spans="1:9" ht="13.8">
      <c r="A305" s="25">
        <v>54011</v>
      </c>
      <c r="B305" s="28">
        <v>2.75</v>
      </c>
      <c r="C305" s="27">
        <v>113.09399999999999</v>
      </c>
      <c r="D305" s="26">
        <v>2.12</v>
      </c>
      <c r="E305" s="4">
        <f t="shared" si="16"/>
        <v>1.03125</v>
      </c>
      <c r="F305" s="4">
        <f t="shared" si="17"/>
        <v>114.12524999999999</v>
      </c>
      <c r="G305" s="4">
        <f t="shared" si="18"/>
        <v>28.125</v>
      </c>
      <c r="H305" s="23">
        <f t="shared" si="19"/>
        <v>2.2169359792956419E-2</v>
      </c>
      <c r="I305" s="2" cm="1">
        <f t="array" ref="I305">NSprice($L$4,$L$5,$L$6,$L$7,MOD(G305,0.5),(G305-MOD(G305,0.5))*2+1,B305/100,2)</f>
        <v>113.74664713809102</v>
      </c>
    </row>
    <row r="306" spans="1:9" ht="13.8">
      <c r="A306" s="25">
        <v>54103</v>
      </c>
      <c r="B306" s="28">
        <v>3</v>
      </c>
      <c r="C306" s="27">
        <v>118.236</v>
      </c>
      <c r="D306" s="26">
        <v>2.1179999999999999</v>
      </c>
      <c r="E306" s="4">
        <f t="shared" si="16"/>
        <v>0.375</v>
      </c>
      <c r="F306" s="4">
        <f t="shared" si="17"/>
        <v>118.611</v>
      </c>
      <c r="G306" s="4">
        <f t="shared" si="18"/>
        <v>28.375</v>
      </c>
      <c r="H306" s="23">
        <f t="shared" si="19"/>
        <v>2.2211024271277639E-2</v>
      </c>
      <c r="I306" s="2" cm="1">
        <f t="array" ref="I306">NSprice($L$4,$L$5,$L$6,$L$7,MOD(G306,0.5),(G306-MOD(G306,0.5))*2+1,B306/100,2)</f>
        <v>118.5027813484909</v>
      </c>
    </row>
    <row r="307" spans="1:9" ht="13.8">
      <c r="A307" s="25">
        <v>54193</v>
      </c>
      <c r="B307" s="28">
        <v>3.125</v>
      </c>
      <c r="C307" s="27">
        <v>121.176</v>
      </c>
      <c r="D307" s="26">
        <v>2.117</v>
      </c>
      <c r="E307" s="4">
        <f t="shared" si="16"/>
        <v>1.171875</v>
      </c>
      <c r="F307" s="4">
        <f t="shared" si="17"/>
        <v>122.347875</v>
      </c>
      <c r="G307" s="4">
        <f t="shared" si="18"/>
        <v>28.625</v>
      </c>
      <c r="H307" s="23">
        <f t="shared" si="19"/>
        <v>2.2252057075711793E-2</v>
      </c>
      <c r="I307" s="2" cm="1">
        <f t="array" ref="I307">NSprice($L$4,$L$5,$L$6,$L$7,MOD(G307,0.5),(G307-MOD(G307,0.5))*2+1,B307/100,2)</f>
        <v>122.05780210646637</v>
      </c>
    </row>
    <row r="308" spans="1:9" ht="13.8">
      <c r="A308" s="25">
        <v>54285</v>
      </c>
      <c r="B308" s="28">
        <v>3</v>
      </c>
      <c r="C308" s="27">
        <v>118.30200000000001</v>
      </c>
      <c r="D308" s="26">
        <v>2.1190000000000002</v>
      </c>
      <c r="E308" s="4">
        <f t="shared" si="16"/>
        <v>0.375</v>
      </c>
      <c r="F308" s="4">
        <f t="shared" si="17"/>
        <v>118.67700000000001</v>
      </c>
      <c r="G308" s="4">
        <f t="shared" si="18"/>
        <v>28.875</v>
      </c>
      <c r="H308" s="23">
        <f t="shared" si="19"/>
        <v>2.2292469854213046E-2</v>
      </c>
      <c r="I308" s="2" cm="1">
        <f t="array" ref="I308">NSprice($L$4,$L$5,$L$6,$L$7,MOD(G308,0.5),(G308-MOD(G308,0.5))*2+1,B308/100,2)</f>
        <v>118.57905080766778</v>
      </c>
    </row>
    <row r="309" spans="1:9" ht="13.8">
      <c r="A309" s="25">
        <v>54377</v>
      </c>
      <c r="B309" s="28">
        <v>3.375</v>
      </c>
      <c r="C309" s="27">
        <v>127.14</v>
      </c>
      <c r="D309" s="26">
        <v>2.109</v>
      </c>
      <c r="E309" s="4">
        <f t="shared" si="16"/>
        <v>1.265625</v>
      </c>
      <c r="F309" s="4">
        <f t="shared" si="17"/>
        <v>128.40562499999999</v>
      </c>
      <c r="G309" s="4">
        <f t="shared" si="18"/>
        <v>29.125</v>
      </c>
      <c r="H309" s="23">
        <f t="shared" si="19"/>
        <v>2.2332274081986129E-2</v>
      </c>
      <c r="I309" s="2" cm="1">
        <f t="array" ref="I309">NSprice($L$4,$L$5,$L$6,$L$7,MOD(G309,0.5),(G309-MOD(G309,0.5))*2+1,B309/100,2)</f>
        <v>127.76459529764435</v>
      </c>
    </row>
    <row r="310" spans="1:9" ht="13.8">
      <c r="A310" s="25">
        <v>54469</v>
      </c>
      <c r="B310" s="28">
        <v>3</v>
      </c>
      <c r="C310" s="27">
        <v>119.072</v>
      </c>
      <c r="D310" s="26">
        <v>2.1179999999999999</v>
      </c>
      <c r="E310" s="4">
        <f t="shared" si="16"/>
        <v>0.375</v>
      </c>
      <c r="F310" s="4">
        <f t="shared" si="17"/>
        <v>119.447</v>
      </c>
      <c r="G310" s="4">
        <f t="shared" si="18"/>
        <v>29.375</v>
      </c>
      <c r="H310" s="23">
        <f t="shared" si="19"/>
        <v>2.2371481058592237E-2</v>
      </c>
      <c r="I310" s="2" cm="1">
        <f t="array" ref="I310">NSprice($L$4,$L$5,$L$6,$L$7,MOD(G310,0.5),(G310-MOD(G310,0.5))*2+1,B310/100,2)</f>
        <v>118.65377804925242</v>
      </c>
    </row>
    <row r="311" spans="1:9" ht="13.8">
      <c r="A311" s="25">
        <v>54558</v>
      </c>
      <c r="B311" s="28">
        <v>2.875</v>
      </c>
      <c r="C311" s="27">
        <v>116.206</v>
      </c>
      <c r="D311" s="26">
        <v>2.1160000000000001</v>
      </c>
      <c r="E311" s="4">
        <f t="shared" si="16"/>
        <v>1.078125</v>
      </c>
      <c r="F311" s="4">
        <f t="shared" si="17"/>
        <v>117.284125</v>
      </c>
      <c r="G311" s="4">
        <f t="shared" si="18"/>
        <v>29.625</v>
      </c>
      <c r="H311" s="23">
        <f t="shared" si="19"/>
        <v>2.2410101905619824E-2</v>
      </c>
      <c r="I311" s="2" cm="1">
        <f t="array" ref="I311">NSprice($L$4,$L$5,$L$6,$L$7,MOD(G311,0.5),(G311-MOD(G311,0.5))*2+1,B311/100,2)</f>
        <v>116.60902126944723</v>
      </c>
    </row>
    <row r="312" spans="1:9" ht="13.8">
      <c r="A312" s="25">
        <v>54650</v>
      </c>
      <c r="B312" s="28">
        <v>2.25</v>
      </c>
      <c r="C312" s="27">
        <v>102.26600000000001</v>
      </c>
      <c r="D312" s="26">
        <v>2.121</v>
      </c>
      <c r="E312" s="4">
        <f t="shared" si="16"/>
        <v>0.28125</v>
      </c>
      <c r="F312" s="4">
        <f t="shared" si="17"/>
        <v>102.54725000000001</v>
      </c>
      <c r="G312" s="4">
        <f t="shared" si="18"/>
        <v>29.875</v>
      </c>
      <c r="H312" s="23">
        <f t="shared" si="19"/>
        <v>2.2448147564873417E-2</v>
      </c>
      <c r="I312" s="2" cm="1">
        <f t="array" ref="I312">NSprice($L$4,$L$5,$L$6,$L$7,MOD(G312,0.5),(G312-MOD(G312,0.5))*2+1,B312/100,2)</f>
        <v>101.8298303913507</v>
      </c>
    </row>
  </sheetData>
  <mergeCells count="1">
    <mergeCell ref="A1:M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Pure discount Term Structure</vt:lpstr>
      <vt:lpstr>Disount with few bonds for t</vt:lpstr>
      <vt:lpstr>d(t) with multiple bond for t</vt:lpstr>
      <vt:lpstr>NS Curve fitting</vt:lpstr>
      <vt:lpstr>T-notes</vt:lpstr>
      <vt:lpstr>NS for T-notes</vt:lpstr>
      <vt:lpstr>'Pure discount Term Structure'!alpha1</vt:lpstr>
      <vt:lpstr>'Pure discount Term Structure'!alpha2</vt:lpstr>
      <vt:lpstr>'Pure discount Term Structure'!alpha3</vt:lpstr>
      <vt:lpstr>'Pure discount Term Structure'!beta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KAUSHIKI choubey</dc:creator>
  <cp:lastModifiedBy>KAUSHIKI choubey</cp:lastModifiedBy>
  <dcterms:created xsi:type="dcterms:W3CDTF">2025-04-03T06:46:36Z</dcterms:created>
  <dcterms:modified xsi:type="dcterms:W3CDTF">2025-06-02T01:39:03Z</dcterms:modified>
</cp:coreProperties>
</file>