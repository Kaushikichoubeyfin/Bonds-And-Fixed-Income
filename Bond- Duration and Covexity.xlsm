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ushiki choubey\Desktop\Badri Sir2\FM\Excel Sheets\"/>
    </mc:Choice>
  </mc:AlternateContent>
  <xr:revisionPtr revIDLastSave="0" documentId="13_ncr:1_{D94EDA9A-8694-4C70-943D-4DCD43E2151D}" xr6:coauthVersionLast="47" xr6:coauthVersionMax="47" xr10:uidLastSave="{00000000-0000-0000-0000-000000000000}"/>
  <bookViews>
    <workbookView xWindow="-108" yWindow="-108" windowWidth="23256" windowHeight="12456" xr2:uid="{84EEFBE7-251C-4919-B559-91954A41AB8D}"/>
  </bookViews>
  <sheets>
    <sheet name="Duration1" sheetId="1" r:id="rId1"/>
    <sheet name="Basic Duration" sheetId="2" r:id="rId2"/>
    <sheet name="Duration as Price Elasticity" sheetId="3" r:id="rId3"/>
    <sheet name="Babcock's Formula" sheetId="4" r:id="rId4"/>
    <sheet name="Effect of coupon on D" sheetId="5" r:id="rId5"/>
    <sheet name="Effect of Maturity on D" sheetId="8" r:id="rId6"/>
    <sheet name="YTM of uneven periods" sheetId="6" r:id="rId7"/>
    <sheet name="Convexity of Bond" sheetId="9" r:id="rId8"/>
    <sheet name="Duration and convexity approxim" sheetId="10" r:id="rId9"/>
    <sheet name="Basic Immunisation" sheetId="11" r:id="rId10"/>
    <sheet name="Duration convexity" sheetId="12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11" l="1"/>
  <c r="F23" i="10"/>
  <c r="B8" i="9"/>
  <c r="B11" i="9"/>
  <c r="U14" i="9" s="1"/>
  <c r="D11" i="9" a="1"/>
  <c r="D11" i="9" l="1"/>
  <c r="B6" i="6" l="1"/>
  <c r="B5" i="6"/>
  <c r="B13" i="6" a="1"/>
  <c r="B13" i="6" l="1"/>
  <c r="Z4" i="5" l="1"/>
  <c r="Z2" i="5"/>
  <c r="B7" i="3"/>
  <c r="F36" i="2"/>
  <c r="B36" i="2"/>
  <c r="F35" i="2"/>
  <c r="F34" i="2"/>
  <c r="B35" i="2"/>
  <c r="B34" i="2"/>
  <c r="G24" i="2"/>
  <c r="G25" i="2"/>
  <c r="G26" i="2"/>
  <c r="G27" i="2"/>
  <c r="G28" i="2"/>
  <c r="G29" i="2"/>
  <c r="G30" i="2"/>
  <c r="G31" i="2"/>
  <c r="G32" i="2"/>
  <c r="C24" i="2"/>
  <c r="C25" i="2"/>
  <c r="C26" i="2"/>
  <c r="C27" i="2"/>
  <c r="C28" i="2"/>
  <c r="C29" i="2"/>
  <c r="C30" i="2"/>
  <c r="C31" i="2"/>
  <c r="C32" i="2"/>
  <c r="C23" i="2"/>
  <c r="G23" i="2"/>
  <c r="F32" i="2"/>
  <c r="B32" i="2"/>
  <c r="C32" i="1"/>
  <c r="C33" i="1"/>
  <c r="C27" i="1"/>
  <c r="C30" i="1"/>
  <c r="C11" i="1"/>
  <c r="H27" i="1"/>
  <c r="C29" i="1"/>
  <c r="E27" i="1"/>
  <c r="F27" i="1"/>
  <c r="G27" i="1"/>
  <c r="D27" i="1"/>
  <c r="B13" i="12"/>
  <c r="B11" i="12"/>
  <c r="Z8" i="5" a="1"/>
  <c r="Z8" i="5" l="1"/>
  <c r="Z14" i="5" s="1"/>
  <c r="D19" i="12"/>
  <c r="C19" i="12"/>
  <c r="B19" i="12"/>
  <c r="D18" i="12"/>
  <c r="C18" i="12"/>
  <c r="B18" i="12"/>
  <c r="E9" i="12" a="1"/>
  <c r="E9" i="12" s="1"/>
  <c r="E8" i="12" a="1"/>
  <c r="E8" i="12" s="1"/>
  <c r="E7" i="12" a="1"/>
  <c r="E7" i="12" s="1"/>
  <c r="D7" i="12"/>
  <c r="D8" i="12" s="1"/>
  <c r="B12" i="12" s="1"/>
  <c r="C7" i="12"/>
  <c r="C8" i="12" s="1"/>
  <c r="C21" i="12" s="1"/>
  <c r="B7" i="12"/>
  <c r="B8" i="12" s="1"/>
  <c r="B21" i="12" s="1"/>
  <c r="B15" i="11"/>
  <c r="D17" i="11"/>
  <c r="C17" i="11"/>
  <c r="B17" i="11"/>
  <c r="D15" i="11"/>
  <c r="C15" i="11"/>
  <c r="D14" i="11"/>
  <c r="C14" i="11"/>
  <c r="B14" i="11"/>
  <c r="B16" i="11" s="1"/>
  <c r="D7" i="11"/>
  <c r="D8" i="11" s="1"/>
  <c r="C7" i="11"/>
  <c r="C8" i="11" s="1"/>
  <c r="B7" i="11"/>
  <c r="B8" i="11" s="1"/>
  <c r="D9" i="11" a="1"/>
  <c r="C9" i="11" a="1"/>
  <c r="B9" i="11" a="1"/>
  <c r="B9" i="12" a="1"/>
  <c r="C9" i="12" a="1"/>
  <c r="D9" i="12" a="1"/>
  <c r="C16" i="11" l="1"/>
  <c r="C18" i="11" s="1"/>
  <c r="C21" i="11" s="1"/>
  <c r="B20" i="12"/>
  <c r="B22" i="12" s="1"/>
  <c r="D20" i="12"/>
  <c r="D21" i="12"/>
  <c r="C20" i="12"/>
  <c r="C22" i="12" s="1"/>
  <c r="C9" i="12"/>
  <c r="D9" i="12"/>
  <c r="B9" i="12"/>
  <c r="B21" i="11"/>
  <c r="D16" i="11"/>
  <c r="D18" i="11" s="1"/>
  <c r="D21" i="11" s="1"/>
  <c r="B9" i="11"/>
  <c r="C9" i="11"/>
  <c r="D9" i="11"/>
  <c r="B23" i="10"/>
  <c r="B28" i="10" s="1"/>
  <c r="C20" i="10"/>
  <c r="B20" i="10"/>
  <c r="B19" i="10"/>
  <c r="C19" i="10" s="1"/>
  <c r="B18" i="10"/>
  <c r="C18" i="10" s="1"/>
  <c r="B17" i="10"/>
  <c r="C17" i="10" s="1"/>
  <c r="C16" i="10"/>
  <c r="B16" i="10"/>
  <c r="B15" i="10"/>
  <c r="C15" i="10" s="1"/>
  <c r="B14" i="10"/>
  <c r="C14" i="10" s="1"/>
  <c r="B13" i="10"/>
  <c r="C13" i="10" s="1"/>
  <c r="C12" i="10"/>
  <c r="B12" i="10"/>
  <c r="B11" i="10"/>
  <c r="C11" i="10" s="1"/>
  <c r="B6" i="10"/>
  <c r="B10" i="9"/>
  <c r="B15" i="9" s="1"/>
  <c r="B6" i="9"/>
  <c r="C12" i="9" s="1"/>
  <c r="C4" i="8"/>
  <c r="C2" i="8"/>
  <c r="C11" i="6"/>
  <c r="B7" i="10" a="1"/>
  <c r="B7" i="9" a="1"/>
  <c r="C8" i="10"/>
  <c r="C25" i="10"/>
  <c r="C6" i="10"/>
  <c r="C23" i="10"/>
  <c r="C7" i="10"/>
  <c r="C6" i="9"/>
  <c r="C24" i="10"/>
  <c r="C7" i="9"/>
  <c r="D22" i="12" l="1"/>
  <c r="D25" i="12" s="1"/>
  <c r="B25" i="12"/>
  <c r="C25" i="12"/>
  <c r="B8" i="10"/>
  <c r="B7" i="10"/>
  <c r="B7" i="9"/>
  <c r="C8" i="8"/>
  <c r="B12" i="9" l="1"/>
  <c r="V14" i="9" s="1"/>
  <c r="C8" i="9"/>
  <c r="C12" i="8"/>
  <c r="E22" i="12"/>
  <c r="E25" i="12" s="1"/>
  <c r="B24" i="10"/>
  <c r="C28" i="10" s="1"/>
  <c r="B25" i="10"/>
  <c r="D28" i="10" s="1"/>
  <c r="C15" i="9" l="1"/>
  <c r="C13" i="4"/>
  <c r="B13" i="4"/>
  <c r="C20" i="3"/>
  <c r="B20" i="3"/>
  <c r="C19" i="3"/>
  <c r="B19" i="3"/>
  <c r="C17" i="3" l="1"/>
  <c r="B17" i="3"/>
  <c r="B15" i="3"/>
  <c r="C14" i="3"/>
  <c r="B14" i="3"/>
  <c r="C10" i="3"/>
  <c r="B10" i="3"/>
  <c r="C8" i="3"/>
  <c r="C9" i="3" s="1"/>
  <c r="B8" i="3"/>
  <c r="B9" i="3" s="1"/>
  <c r="C7" i="3"/>
  <c r="E16" i="2"/>
  <c r="B16" i="2"/>
  <c r="E15" i="2"/>
  <c r="E13" i="2"/>
  <c r="F13" i="2" s="1"/>
  <c r="B13" i="2"/>
  <c r="C13" i="2" s="1"/>
  <c r="F12" i="2"/>
  <c r="C12" i="2"/>
  <c r="F11" i="2"/>
  <c r="C11" i="2"/>
  <c r="F10" i="2"/>
  <c r="C10" i="2"/>
  <c r="F9" i="2"/>
  <c r="C9" i="2"/>
  <c r="F8" i="2"/>
  <c r="C8" i="2"/>
  <c r="F7" i="2"/>
  <c r="C7" i="2"/>
  <c r="F6" i="2"/>
  <c r="C6" i="2"/>
  <c r="F5" i="2"/>
  <c r="C5" i="2"/>
  <c r="F4" i="2"/>
  <c r="C4" i="2"/>
  <c r="C4" i="5"/>
  <c r="C2" i="5"/>
  <c r="C8" i="5" s="1"/>
  <c r="C12" i="5" s="1"/>
  <c r="C9" i="4"/>
  <c r="B9" i="4"/>
  <c r="B12" i="4" s="1"/>
  <c r="C8" i="4"/>
  <c r="C12" i="4" s="1"/>
  <c r="C7" i="4"/>
  <c r="H17" i="1"/>
  <c r="G17" i="1"/>
  <c r="F17" i="1"/>
  <c r="E17" i="1"/>
  <c r="D17" i="1"/>
  <c r="G8" i="1"/>
  <c r="H8" i="1" s="1"/>
  <c r="F8" i="1"/>
  <c r="E8" i="1"/>
  <c r="D8" i="1"/>
  <c r="D20" i="3" a="1"/>
  <c r="D17" i="3" a="1"/>
  <c r="D19" i="3" a="1"/>
  <c r="D14" i="3" a="1"/>
  <c r="G4" i="2" a="1"/>
  <c r="G13" i="2" a="1"/>
  <c r="D8" i="4"/>
  <c r="D12" i="4"/>
  <c r="D7" i="4"/>
  <c r="D9" i="4"/>
  <c r="D19" i="3" l="1"/>
  <c r="D17" i="3"/>
  <c r="D20" i="3"/>
  <c r="D14" i="3"/>
  <c r="G13" i="2"/>
  <c r="G4" i="2"/>
  <c r="E17" i="2"/>
  <c r="B15" i="2"/>
  <c r="B17" i="2" s="1"/>
  <c r="C10" i="1"/>
  <c r="C13" i="1" l="1"/>
  <c r="C17" i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<sst xmlns="http://schemas.openxmlformats.org/spreadsheetml/2006/main" count="201" uniqueCount="100">
  <si>
    <t>Face value</t>
  </si>
  <si>
    <t>Annual coupon</t>
  </si>
  <si>
    <t>Coupon frequency</t>
  </si>
  <si>
    <t>YTM</t>
  </si>
  <si>
    <t>Cash flow</t>
  </si>
  <si>
    <t>Price</t>
  </si>
  <si>
    <t>Discount rate</t>
  </si>
  <si>
    <t>Bond A</t>
  </si>
  <si>
    <t>Bond B</t>
  </si>
  <si>
    <t>Coupon rate</t>
  </si>
  <si>
    <t>Face Value</t>
  </si>
  <si>
    <t>Maturity</t>
  </si>
  <si>
    <t>Bond Price</t>
  </si>
  <si>
    <t>Duration</t>
  </si>
  <si>
    <t>Modified duration (Direct)</t>
  </si>
  <si>
    <t>Modified duration (Excel)</t>
  </si>
  <si>
    <t>BABOCK'S FORMULA FOR DURATION</t>
  </si>
  <si>
    <t>N, Bond Maturity</t>
  </si>
  <si>
    <t>Yield to Maturity (YTM)</t>
  </si>
  <si>
    <t>C, Bond Coupon</t>
  </si>
  <si>
    <t>Current Coupon Yield</t>
  </si>
  <si>
    <t>Present value annuity factor PAF(r, N)</t>
  </si>
  <si>
    <t>Two Duration</t>
  </si>
  <si>
    <t>Babcock's formula</t>
  </si>
  <si>
    <t>Standard formula</t>
  </si>
  <si>
    <t>Current  date</t>
  </si>
  <si>
    <t>Maturity, in years</t>
  </si>
  <si>
    <t>Maturity date</t>
  </si>
  <si>
    <t>Coupon</t>
  </si>
  <si>
    <t>DataTable:</t>
  </si>
  <si>
    <t>Effect of Maturity on Duration</t>
  </si>
  <si>
    <t>Bond maturity</t>
  </si>
  <si>
    <t>Year</t>
  </si>
  <si>
    <t>Ca</t>
  </si>
  <si>
    <t>t*Ca</t>
  </si>
  <si>
    <t>Cb</t>
  </si>
  <si>
    <t>t*Cb</t>
  </si>
  <si>
    <t>Using Excel function Duration and the 'Home - made" function Dduration</t>
  </si>
  <si>
    <t>New Discount Rate</t>
  </si>
  <si>
    <t>New Price (Direct)</t>
  </si>
  <si>
    <t>Change in price</t>
  </si>
  <si>
    <t>Actual</t>
  </si>
  <si>
    <t>Appoximated by duration</t>
  </si>
  <si>
    <t>Using Mduration</t>
  </si>
  <si>
    <t>ΔP = -Duration</t>
  </si>
  <si>
    <t>Using IRR</t>
  </si>
  <si>
    <t>Duration (Macaulay)</t>
  </si>
  <si>
    <r>
      <t xml:space="preserve">%Change in 1+YTM : </t>
    </r>
    <r>
      <rPr>
        <sz val="11"/>
        <color theme="1"/>
        <rFont val="Times New Roman"/>
        <family val="1"/>
      </rPr>
      <t>ΔYTM(1+YTM)</t>
    </r>
  </si>
  <si>
    <t>Illustration of calculation of YTM of uneven</t>
  </si>
  <si>
    <t xml:space="preserve">Current date </t>
  </si>
  <si>
    <t>Time to first payment</t>
  </si>
  <si>
    <t>Number of Payments</t>
  </si>
  <si>
    <t>Epsilon</t>
  </si>
  <si>
    <t>Bond Coupon</t>
  </si>
  <si>
    <t>Effect of Coupon on Duration</t>
  </si>
  <si>
    <t>Data Table</t>
  </si>
  <si>
    <t>N, Bond maturity</t>
  </si>
  <si>
    <t>C, Bond coupon</t>
  </si>
  <si>
    <r>
      <t xml:space="preserve">Convexity of Bond: </t>
    </r>
    <r>
      <rPr>
        <b/>
        <sz val="11"/>
        <color theme="1"/>
        <rFont val="Times New Roman"/>
        <family val="1"/>
      </rPr>
      <t>Actual Price Vs Duration Approximation</t>
    </r>
  </si>
  <si>
    <t>New YTM</t>
  </si>
  <si>
    <t>Price (approximation)</t>
  </si>
  <si>
    <t>Duration and convexity approximation</t>
  </si>
  <si>
    <t>Convexity</t>
  </si>
  <si>
    <t>Price (direct)</t>
  </si>
  <si>
    <t>Price (duration approx)</t>
  </si>
  <si>
    <t>Ct</t>
  </si>
  <si>
    <t>(t2+t)*Ct</t>
  </si>
  <si>
    <t>Duration Approximation</t>
  </si>
  <si>
    <t>Duration &amp; Convexity</t>
  </si>
  <si>
    <t>Price(duration)</t>
  </si>
  <si>
    <t>Price(duration + Convexity)</t>
  </si>
  <si>
    <t>Basic immunisation example with 3 Bonds</t>
  </si>
  <si>
    <t>Bond 1</t>
  </si>
  <si>
    <t>Bond 2</t>
  </si>
  <si>
    <t>Bond 3</t>
  </si>
  <si>
    <t>Coupon Rate</t>
  </si>
  <si>
    <t>Face Value equal to 1000 of market Value</t>
  </si>
  <si>
    <t>In Year 10</t>
  </si>
  <si>
    <t>New yield to maturity</t>
  </si>
  <si>
    <t xml:space="preserve">Bond Price </t>
  </si>
  <si>
    <t xml:space="preserve">Reinvested Coupon </t>
  </si>
  <si>
    <t>Total</t>
  </si>
  <si>
    <t>Multiply by percent of face value bought</t>
  </si>
  <si>
    <t>Product</t>
  </si>
  <si>
    <t>New YTM in year 10</t>
  </si>
  <si>
    <t>Immunisation example - duration linearity</t>
  </si>
  <si>
    <t>Portfolio of Bond 1 &amp; 3</t>
  </si>
  <si>
    <r>
      <t>Investment in Bond 1(</t>
    </r>
    <r>
      <rPr>
        <sz val="11"/>
        <color theme="1"/>
        <rFont val="Aptos Narrow"/>
        <family val="2"/>
      </rPr>
      <t>λ</t>
    </r>
    <r>
      <rPr>
        <sz val="11"/>
        <color theme="1"/>
        <rFont val="Calibri"/>
        <family val="2"/>
      </rPr>
      <t>)</t>
    </r>
  </si>
  <si>
    <t xml:space="preserve">Portfolio Duration </t>
  </si>
  <si>
    <t>Calculate price from CFs and other info, then verify the yield using the obtained price</t>
  </si>
  <si>
    <t>Price, NPV</t>
  </si>
  <si>
    <t>Price, Price func</t>
  </si>
  <si>
    <t xml:space="preserve">Yield </t>
  </si>
  <si>
    <t>Yield IRR</t>
  </si>
  <si>
    <t xml:space="preserve">CF </t>
  </si>
  <si>
    <t>CF*t</t>
  </si>
  <si>
    <t>data table: coupon</t>
  </si>
  <si>
    <t>First Coupon Payment</t>
  </si>
  <si>
    <t>Modified duration</t>
  </si>
  <si>
    <t>Investment in Bond 3(1-λ)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</si>
</sst>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₹&quot;\ #,##0.00;[Red]&quot;₹&quot;\ \-#,##0.00"/>
    <numFmt numFmtId="164" formatCode="0.000"/>
    <numFmt numFmtId="165" formatCode="0.0000"/>
    <numFmt numFmtId="166" formatCode="0.000%"/>
    <numFmt numFmtId="167" formatCode="0.00000000"/>
    <numFmt numFmtId="168" formatCode="0.000000"/>
    <numFmt numFmtId="169" formatCode="0.00000"/>
    <numFmt numFmtId="170" formatCode="0.000000000"/>
    <numFmt numFmtId="171" formatCode="#,##0.00_ ;[Red]\-#,##0.00\ "/>
  </numFmts>
  <fonts count="12" x14ac:knownFonts="1">
    <font>
      <sz val="10"/>
      <color theme="1"/>
      <name val="Times New Roman"/>
      <family val="2"/>
    </font>
    <font>
      <sz val="10"/>
      <name val="Arial"/>
      <family val="2"/>
    </font>
    <font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i/>
      <sz val="10"/>
      <name val="Arial"/>
      <family val="2"/>
    </font>
    <font>
      <b/>
      <sz val="11"/>
      <color theme="1"/>
      <name val="Times New Roman"/>
      <family val="1"/>
    </font>
    <font>
      <sz val="10"/>
      <color theme="1"/>
      <name val="Times New Roman"/>
      <family val="2"/>
    </font>
    <font>
      <b/>
      <sz val="14"/>
      <color theme="1"/>
      <name val="Calibri"/>
      <family val="2"/>
      <scheme val="minor"/>
    </font>
    <font>
      <sz val="11"/>
      <color theme="1"/>
      <name val="Aptos Narrow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3">
    <xf numFmtId="0" fontId="0" fillId="0" borderId="0" xfId="0"/>
    <xf numFmtId="2" fontId="0" fillId="0" borderId="0" xfId="0" applyNumberFormat="1"/>
    <xf numFmtId="9" fontId="0" fillId="0" borderId="0" xfId="0" applyNumberFormat="1"/>
    <xf numFmtId="15" fontId="0" fillId="0" borderId="0" xfId="0" applyNumberFormat="1"/>
    <xf numFmtId="8" fontId="0" fillId="0" borderId="0" xfId="0" applyNumberFormat="1"/>
    <xf numFmtId="1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indent="1"/>
    </xf>
    <xf numFmtId="0" fontId="3" fillId="0" borderId="0" xfId="0" applyFont="1"/>
    <xf numFmtId="0" fontId="4" fillId="0" borderId="0" xfId="0" applyFont="1"/>
    <xf numFmtId="0" fontId="2" fillId="0" borderId="0" xfId="0" applyFont="1"/>
    <xf numFmtId="9" fontId="4" fillId="0" borderId="0" xfId="0" applyNumberFormat="1" applyFont="1"/>
    <xf numFmtId="0" fontId="2" fillId="0" borderId="0" xfId="0" applyFont="1" applyAlignment="1">
      <alignment horizontal="center"/>
    </xf>
    <xf numFmtId="2" fontId="4" fillId="0" borderId="0" xfId="0" applyNumberFormat="1" applyFont="1"/>
    <xf numFmtId="169" fontId="4" fillId="0" borderId="0" xfId="0" applyNumberFormat="1" applyFont="1"/>
    <xf numFmtId="10" fontId="4" fillId="0" borderId="0" xfId="0" applyNumberFormat="1" applyFont="1"/>
    <xf numFmtId="8" fontId="4" fillId="0" borderId="0" xfId="0" applyNumberFormat="1" applyFont="1"/>
    <xf numFmtId="166" fontId="4" fillId="0" borderId="0" xfId="0" applyNumberFormat="1" applyFont="1"/>
    <xf numFmtId="0" fontId="4" fillId="0" borderId="0" xfId="0" applyFont="1" applyAlignment="1">
      <alignment horizontal="left" indent="1"/>
    </xf>
    <xf numFmtId="0" fontId="6" fillId="0" borderId="0" xfId="0" applyFont="1"/>
    <xf numFmtId="1" fontId="0" fillId="0" borderId="0" xfId="0" applyNumberFormat="1"/>
    <xf numFmtId="0" fontId="5" fillId="0" borderId="0" xfId="0" applyFont="1" applyAlignment="1">
      <alignment horizontal="center" vertical="center"/>
    </xf>
    <xf numFmtId="171" fontId="0" fillId="0" borderId="0" xfId="0" applyNumberFormat="1"/>
    <xf numFmtId="9" fontId="0" fillId="0" borderId="0" xfId="1" applyFont="1"/>
    <xf numFmtId="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2" fontId="0" fillId="2" borderId="0" xfId="0" applyNumberFormat="1" applyFill="1"/>
    <xf numFmtId="9" fontId="0" fillId="2" borderId="0" xfId="0" applyNumberFormat="1" applyFill="1"/>
    <xf numFmtId="15" fontId="0" fillId="2" borderId="0" xfId="0" applyNumberFormat="1" applyFill="1"/>
    <xf numFmtId="8" fontId="0" fillId="2" borderId="0" xfId="0" applyNumberFormat="1" applyFill="1"/>
    <xf numFmtId="10" fontId="0" fillId="2" borderId="0" xfId="0" applyNumberFormat="1" applyFill="1"/>
    <xf numFmtId="14" fontId="4" fillId="0" borderId="0" xfId="0" applyNumberFormat="1" applyFont="1"/>
    <xf numFmtId="168" fontId="4" fillId="0" borderId="0" xfId="0" applyNumberFormat="1" applyFont="1"/>
    <xf numFmtId="167" fontId="4" fillId="0" borderId="0" xfId="0" applyNumberFormat="1" applyFont="1"/>
    <xf numFmtId="170" fontId="4" fillId="0" borderId="0" xfId="0" applyNumberFormat="1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'Effect of coupon on D'!$C$11</c:f>
              <c:strCache>
                <c:ptCount val="1"/>
                <c:pt idx="0">
                  <c:v>Duration</c:v>
                </c:pt>
              </c:strCache>
            </c:strRef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xVal>
            <c:numRef>
              <c:f>'Effect of coupon on D'!$B$12:$B$38</c:f>
              <c:numCache>
                <c:formatCode>0%</c:formatCode>
                <c:ptCount val="27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</c:numCache>
            </c:numRef>
          </c:xVal>
          <c:yVal>
            <c:numRef>
              <c:f>'Effect of coupon on D'!$C$12:$C$38</c:f>
              <c:numCache>
                <c:formatCode>0.000000</c:formatCode>
                <c:ptCount val="27"/>
                <c:pt idx="0" formatCode="General">
                  <c:v>9.0110319541472155</c:v>
                </c:pt>
                <c:pt idx="1">
                  <c:v>21</c:v>
                </c:pt>
                <c:pt idx="2" formatCode="General">
                  <c:v>13.120405887067847</c:v>
                </c:pt>
                <c:pt idx="3" formatCode="General">
                  <c:v>10.786542812879926</c:v>
                </c:pt>
                <c:pt idx="4" formatCode="General">
                  <c:v>9.6677021220158164</c:v>
                </c:pt>
                <c:pt idx="5" formatCode="General">
                  <c:v>9.0110319541472155</c:v>
                </c:pt>
                <c:pt idx="6" formatCode="General">
                  <c:v>8.5791841881210171</c:v>
                </c:pt>
                <c:pt idx="7" formatCode="General">
                  <c:v>8.27357670814032</c:v>
                </c:pt>
                <c:pt idx="8" formatCode="General">
                  <c:v>8.0459136261399511</c:v>
                </c:pt>
                <c:pt idx="9" formatCode="0.00000000">
                  <c:v>7.8697482468534075</c:v>
                </c:pt>
                <c:pt idx="10" formatCode="General">
                  <c:v>7.7293827299126399</c:v>
                </c:pt>
                <c:pt idx="11" formatCode="General">
                  <c:v>7.6149108988278122</c:v>
                </c:pt>
                <c:pt idx="12" formatCode="General">
                  <c:v>7.5197727837982562</c:v>
                </c:pt>
                <c:pt idx="13" formatCode="General">
                  <c:v>7.4394517521064181</c:v>
                </c:pt>
                <c:pt idx="14" formatCode="0.000000000">
                  <c:v>7.3707363978561142</c:v>
                </c:pt>
                <c:pt idx="15" formatCode="General">
                  <c:v>7.3112808252771311</c:v>
                </c:pt>
                <c:pt idx="16" formatCode="General">
                  <c:v>7.2593314737296479</c:v>
                </c:pt>
                <c:pt idx="17" formatCode="General">
                  <c:v>7.2135512637631409</c:v>
                </c:pt>
                <c:pt idx="18" formatCode="General">
                  <c:v>7.1729028813112343</c:v>
                </c:pt>
                <c:pt idx="19" formatCode="General">
                  <c:v>7.1365692292125242</c:v>
                </c:pt>
                <c:pt idx="20" formatCode="General">
                  <c:v>7.1038979336953032</c:v>
                </c:pt>
                <c:pt idx="21" formatCode="General">
                  <c:v>7.0743618265948047</c:v>
                </c:pt>
                <c:pt idx="22" formatCode="General">
                  <c:v>7.0475302832695625</c:v>
                </c:pt>
                <c:pt idx="23" formatCode="General">
                  <c:v>7.0230480894082694</c:v>
                </c:pt>
                <c:pt idx="24" formatCode="General">
                  <c:v>7.0006196262187421</c:v>
                </c:pt>
                <c:pt idx="25" formatCode="General">
                  <c:v>6.9799968753613308</c:v>
                </c:pt>
                <c:pt idx="26" formatCode="General">
                  <c:v>6.9609702089335119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A-49CE-ADFF-7CE71BA4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286480"/>
        <c:axId val="1091288400"/>
      </c:scatterChart>
      <c:valAx>
        <c:axId val="109128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288400"/>
        <c:crosses val="autoZero"/>
        <c:crossBetween val="midCat"/>
      </c:valAx>
      <c:valAx>
        <c:axId val="10912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286480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'Effect of coupon on D'!$Y$15:$Y$46</c:f>
              <c:numCache>
                <c:formatCode>0%</c:formatCode>
                <c:ptCount val="3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</c:numCache>
            </c:numRef>
          </c:cat>
          <c:val>
            <c:numRef>
              <c:f>'Effect of coupon on D'!$Z$15:$Z$46</c:f>
              <c:numCache>
                <c:formatCode>General</c:formatCode>
                <c:ptCount val="32"/>
                <c:pt idx="0">
                  <c:v>21.000000000000004</c:v>
                </c:pt>
                <c:pt idx="1">
                  <c:v>13.12040588706785</c:v>
                </c:pt>
                <c:pt idx="2">
                  <c:v>10.786542812879928</c:v>
                </c:pt>
                <c:pt idx="3">
                  <c:v>9.6677021220158128</c:v>
                </c:pt>
                <c:pt idx="4">
                  <c:v>9.011031954147219</c:v>
                </c:pt>
                <c:pt idx="5">
                  <c:v>8.5791841881210225</c:v>
                </c:pt>
                <c:pt idx="6">
                  <c:v>8.2735767081403164</c:v>
                </c:pt>
                <c:pt idx="7">
                  <c:v>8.0459136261399529</c:v>
                </c:pt>
                <c:pt idx="8">
                  <c:v>7.8697482468534119</c:v>
                </c:pt>
                <c:pt idx="9">
                  <c:v>7.7293827299126363</c:v>
                </c:pt>
                <c:pt idx="10">
                  <c:v>7.6149108988278158</c:v>
                </c:pt>
                <c:pt idx="11">
                  <c:v>7.5197727837982562</c:v>
                </c:pt>
                <c:pt idx="12">
                  <c:v>7.4394517521064145</c:v>
                </c:pt>
                <c:pt idx="13">
                  <c:v>7.3707363978561169</c:v>
                </c:pt>
                <c:pt idx="14">
                  <c:v>7.311280825277132</c:v>
                </c:pt>
                <c:pt idx="15">
                  <c:v>7.2593314737296488</c:v>
                </c:pt>
                <c:pt idx="16">
                  <c:v>7.2135512637631436</c:v>
                </c:pt>
                <c:pt idx="17">
                  <c:v>7.1729028813112379</c:v>
                </c:pt>
                <c:pt idx="18">
                  <c:v>7.1365692292125225</c:v>
                </c:pt>
                <c:pt idx="19">
                  <c:v>7.1038979336953023</c:v>
                </c:pt>
                <c:pt idx="20">
                  <c:v>7.0743618265948101</c:v>
                </c:pt>
                <c:pt idx="21">
                  <c:v>7.0475302832695625</c:v>
                </c:pt>
                <c:pt idx="22">
                  <c:v>7.0230480894082685</c:v>
                </c:pt>
                <c:pt idx="23">
                  <c:v>7.000619626218743</c:v>
                </c:pt>
                <c:pt idx="24">
                  <c:v>6.9799968753613282</c:v>
                </c:pt>
                <c:pt idx="25">
                  <c:v>6.9609702089335084</c:v>
                </c:pt>
                <c:pt idx="26">
                  <c:v>6.9433612381965206</c:v>
                </c:pt>
                <c:pt idx="27">
                  <c:v>6.9270172034317037</c:v>
                </c:pt>
                <c:pt idx="28">
                  <c:v>6.9118065308878478</c:v>
                </c:pt>
                <c:pt idx="29">
                  <c:v>6.8976152830533648</c:v>
                </c:pt>
                <c:pt idx="30">
                  <c:v>6.8843442994994781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7-4FD3-AE72-5A8B66FF0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6952319"/>
        <c:axId val="816949919"/>
      </c:lineChart>
      <c:catAx>
        <c:axId val="816952319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949919"/>
        <c:crosses val="autoZero"/>
        <c:auto val="1"/>
        <c:lblAlgn val="ctr"/>
        <c:lblOffset val="100"/>
        <c:noMultiLvlLbl val="0"/>
      </c:catAx>
      <c:valAx>
        <c:axId val="8169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95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'Effect of Maturity on D'!$C$11</c:f>
              <c:strCache>
                <c:ptCount val="1"/>
                <c:pt idx="0">
                  <c:v>Duration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'Effect of Maturity on D'!$B$12:$B$42</c:f>
              <c:numCache>
                <c:formatCode>0</c:formatCode>
                <c:ptCount val="3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'Effect of Maturity on D'!$C$12:$C$42</c:f>
              <c:numCache>
                <c:formatCode>General</c:formatCode>
                <c:ptCount val="31"/>
                <c:pt idx="0">
                  <c:v>9.0110319541472155</c:v>
                </c:pt>
                <c:pt idx="1">
                  <c:v>1</c:v>
                </c:pt>
                <c:pt idx="2">
                  <c:v>1.9576427255985267</c:v>
                </c:pt>
                <c:pt idx="3">
                  <c:v>2.8667134954780931</c:v>
                </c:pt>
                <c:pt idx="4">
                  <c:v>3.7213509650047718</c:v>
                </c:pt>
                <c:pt idx="5">
                  <c:v>4.5163044045411684</c:v>
                </c:pt>
                <c:pt idx="6">
                  <c:v>5.2471815830252062</c:v>
                </c:pt>
                <c:pt idx="7">
                  <c:v>5.9106657258389088</c:v>
                </c:pt>
                <c:pt idx="8">
                  <c:v>6.5046812244111258</c:v>
                </c:pt>
                <c:pt idx="9">
                  <c:v>7.0284919781910027</c:v>
                </c:pt>
                <c:pt idx="10">
                  <c:v>7.4827229715919046</c:v>
                </c:pt>
                <c:pt idx="11">
                  <c:v>7.8693038847956034</c:v>
                </c:pt>
                <c:pt idx="12">
                  <c:v>8.1913418241816274</c:v>
                </c:pt>
                <c:pt idx="13">
                  <c:v>8.4529372481704375</c:v>
                </c:pt>
                <c:pt idx="14">
                  <c:v>8.658961798812534</c:v>
                </c:pt>
                <c:pt idx="15">
                  <c:v>8.8148185212053818</c:v>
                </c:pt>
                <c:pt idx="16">
                  <c:v>8.9262039580375543</c:v>
                </c:pt>
                <c:pt idx="17">
                  <c:v>8.9988884331805572</c:v>
                </c:pt>
                <c:pt idx="18">
                  <c:v>9.0385263504512672</c:v>
                </c:pt>
                <c:pt idx="19">
                  <c:v>9.0505034352808469</c:v>
                </c:pt>
                <c:pt idx="20">
                  <c:v>9.0398232933309774</c:v>
                </c:pt>
                <c:pt idx="21">
                  <c:v>9.0110319541472155</c:v>
                </c:pt>
                <c:pt idx="22">
                  <c:v>8.968176442075972</c:v>
                </c:pt>
                <c:pt idx="23">
                  <c:v>8.9147918759917051</c:v>
                </c:pt>
                <c:pt idx="24">
                  <c:v>8.8539109955301036</c:v>
                </c:pt>
                <c:pt idx="25">
                  <c:v>8.7880901193364664</c:v>
                </c:pt>
                <c:pt idx="26">
                  <c:v>8.7194461204546059</c:v>
                </c:pt>
                <c:pt idx="27">
                  <c:v>8.6496998416079602</c:v>
                </c:pt>
                <c:pt idx="28">
                  <c:v>8.5802223013159473</c:v>
                </c:pt>
                <c:pt idx="29">
                  <c:v>8.5120809441171588</c:v>
                </c:pt>
                <c:pt idx="30">
                  <c:v>8.4460839941924402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9-4E30-AC1F-9A7F2A7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479760"/>
        <c:axId val="1232481200"/>
      </c:scatterChart>
      <c:valAx>
        <c:axId val="123247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481200"/>
        <c:crosses val="autoZero"/>
        <c:crossBetween val="midCat"/>
      </c:valAx>
      <c:valAx>
        <c:axId val="123248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479760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'Convexity of Bond'!$B$15</c:f>
              <c:strCache>
                <c:ptCount val="1"/>
                <c:pt idx="0">
                  <c:v>₹ 341.69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'Convexity of Bond'!$A$16:$A$46</c:f>
              <c:numCache>
                <c:formatCode>0%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</c:numCache>
            </c:numRef>
          </c:cat>
          <c:val>
            <c:numRef>
              <c:f>'Convexity of Bond'!$B$16:$B$46</c:f>
              <c:numCache>
                <c:formatCode>General</c:formatCode>
                <c:ptCount val="31"/>
                <c:pt idx="0">
                  <c:v>1700</c:v>
                </c:pt>
                <c:pt idx="1">
                  <c:v>1568.2782718421013</c:v>
                </c:pt>
                <c:pt idx="2">
                  <c:v>1449.1292503121117</c:v>
                </c:pt>
                <c:pt idx="3">
                  <c:v>1341.2081134710331</c:v>
                </c:pt>
                <c:pt idx="4">
                  <c:v>1243.326873380651</c:v>
                </c:pt>
                <c:pt idx="5">
                  <c:v>1154.4346985836962</c:v>
                </c:pt>
                <c:pt idx="6">
                  <c:v>1073.6008705141469</c:v>
                </c:pt>
                <c:pt idx="7">
                  <c:v>1000</c:v>
                </c:pt>
                <c:pt idx="8">
                  <c:v>932.89918601058559</c:v>
                </c:pt>
                <c:pt idx="9">
                  <c:v>871.64684597681992</c:v>
                </c:pt>
                <c:pt idx="10">
                  <c:v>815.66298682885952</c:v>
                </c:pt>
                <c:pt idx="11">
                  <c:v>764.43071955435164</c:v>
                </c:pt>
                <c:pt idx="12">
                  <c:v>717.48884857945666</c:v>
                </c:pt>
                <c:pt idx="13">
                  <c:v>674.42539144282716</c:v>
                </c:pt>
                <c:pt idx="14">
                  <c:v>634.87190475944931</c:v>
                </c:pt>
                <c:pt idx="15">
                  <c:v>598.49850993166183</c:v>
                </c:pt>
                <c:pt idx="16">
                  <c:v>565.00952693882755</c:v>
                </c:pt>
                <c:pt idx="17">
                  <c:v>534.1396372266496</c:v>
                </c:pt>
                <c:pt idx="18">
                  <c:v>505.6505075583147</c:v>
                </c:pt>
                <c:pt idx="19">
                  <c:v>479.32781596484563</c:v>
                </c:pt>
                <c:pt idx="20">
                  <c:v>454.97862887839966</c:v>
                </c:pt>
                <c:pt idx="21">
                  <c:v>432.42908534942916</c:v>
                </c:pt>
                <c:pt idx="22">
                  <c:v>411.52235010491182</c:v>
                </c:pt>
                <c:pt idx="23">
                  <c:v>392.11680224231606</c:v>
                </c:pt>
                <c:pt idx="24">
                  <c:v>374.08443069269646</c:v>
                </c:pt>
                <c:pt idx="25">
                  <c:v>357.30941132800001</c:v>
                </c:pt>
                <c:pt idx="26">
                  <c:v>341.68684381850528</c:v>
                </c:pt>
                <c:pt idx="27">
                  <c:v>327.12162913950283</c:v>
                </c:pt>
                <c:pt idx="28">
                  <c:v>313.52747104407246</c:v>
                </c:pt>
                <c:pt idx="29">
                  <c:v>300.8259869140939</c:v>
                </c:pt>
                <c:pt idx="30">
                  <c:v>288.94591521957773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E3-4A06-A573-7C3985CE47AB}"/>
            </c:ext>
          </c:extLst>
        </c:ser>
        <c:ser>
          <c:idx val="1"/>
          <c:order val="1"/>
          <c:tx>
            <c:strRef>
              <c:f>'Convexity of Bond'!$C$15</c:f>
              <c:strCache>
                <c:ptCount val="1"/>
                <c:pt idx="0">
                  <c:v>₹ -334.48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'Convexity of Bond'!$A$16:$A$46</c:f>
              <c:numCache>
                <c:formatCode>0%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</c:numCache>
            </c:numRef>
          </c:cat>
          <c:val>
            <c:numRef>
              <c:f>'Convexity of Bond'!$C$16:$C$46</c:f>
              <c:numCache>
                <c:formatCode>General</c:formatCode>
                <c:ptCount val="31"/>
                <c:pt idx="0">
                  <c:v>1491.6507078652821</c:v>
                </c:pt>
                <c:pt idx="1">
                  <c:v>1421.4148924559561</c:v>
                </c:pt>
                <c:pt idx="2">
                  <c:v>1351.17907704663</c:v>
                </c:pt>
                <c:pt idx="3">
                  <c:v>1280.943261637304</c:v>
                </c:pt>
                <c:pt idx="4">
                  <c:v>1210.7074462279782</c:v>
                </c:pt>
                <c:pt idx="5">
                  <c:v>1140.4716308186521</c:v>
                </c:pt>
                <c:pt idx="6">
                  <c:v>1070.2358154093261</c:v>
                </c:pt>
                <c:pt idx="7">
                  <c:v>1000</c:v>
                </c:pt>
                <c:pt idx="8">
                  <c:v>929.76418459067395</c:v>
                </c:pt>
                <c:pt idx="9">
                  <c:v>859.52836918134801</c:v>
                </c:pt>
                <c:pt idx="10">
                  <c:v>789.29255377202196</c:v>
                </c:pt>
                <c:pt idx="11">
                  <c:v>719.05673836269602</c:v>
                </c:pt>
                <c:pt idx="12">
                  <c:v>648.82092295337009</c:v>
                </c:pt>
                <c:pt idx="13">
                  <c:v>578.58510754404404</c:v>
                </c:pt>
                <c:pt idx="14">
                  <c:v>508.34929213471793</c:v>
                </c:pt>
                <c:pt idx="15">
                  <c:v>438.11347672539205</c:v>
                </c:pt>
                <c:pt idx="16">
                  <c:v>367.87766131606605</c:v>
                </c:pt>
                <c:pt idx="17">
                  <c:v>297.64184590673995</c:v>
                </c:pt>
                <c:pt idx="18">
                  <c:v>227.40603049741404</c:v>
                </c:pt>
                <c:pt idx="19">
                  <c:v>157.17021508808804</c:v>
                </c:pt>
                <c:pt idx="20">
                  <c:v>86.934399678761935</c:v>
                </c:pt>
                <c:pt idx="21">
                  <c:v>16.698584269436047</c:v>
                </c:pt>
                <c:pt idx="22">
                  <c:v>-53.537231139890061</c:v>
                </c:pt>
                <c:pt idx="23">
                  <c:v>-123.77304654921595</c:v>
                </c:pt>
                <c:pt idx="24">
                  <c:v>-194.00886195854184</c:v>
                </c:pt>
                <c:pt idx="25">
                  <c:v>-264.24467736786795</c:v>
                </c:pt>
                <c:pt idx="26">
                  <c:v>-334.48049277719406</c:v>
                </c:pt>
                <c:pt idx="27">
                  <c:v>-404.71630818652017</c:v>
                </c:pt>
                <c:pt idx="28">
                  <c:v>-474.95212359584627</c:v>
                </c:pt>
                <c:pt idx="29">
                  <c:v>-545.18793900517198</c:v>
                </c:pt>
                <c:pt idx="30">
                  <c:v>-615.42375441449781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3-4A06-A573-7C3985CE4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1191854144"/>
        <c:axId val="1191850304"/>
      </c:lineChart>
      <c:catAx>
        <c:axId val="119185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850304"/>
        <c:crosses val="autoZero"/>
        <c:auto val="1"/>
        <c:lblAlgn val="ctr"/>
        <c:lblOffset val="100"/>
        <c:noMultiLvlLbl val="0"/>
      </c:catAx>
      <c:valAx>
        <c:axId val="11918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Approximated price &amp; Actual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85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83608640749273"/>
          <c:y val="2.2097226529596597E-2"/>
          <c:w val="0.8452495565484196"/>
          <c:h val="0.7703852498043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'Duration and convexity approxim'!$B$27</c:f>
              <c:strCache>
                <c:ptCount val="1"/>
                <c:pt idx="0">
                  <c:v>Price (direct)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'Duration and convexity approxim'!$A$28:$A$48</c:f>
              <c:numCache>
                <c:formatCode>0%</c:formatCode>
                <c:ptCount val="21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xVal>
          <c:yVal>
            <c:numRef>
              <c:f>'Duration and convexity approxim'!$B$28:$B$48</c:f>
              <c:numCache>
                <c:formatCode>General</c:formatCode>
                <c:ptCount val="21"/>
                <c:pt idx="0" formatCode="&quot;₹&quot;#,##0.00_);[Red]\(&quot;₹&quot;#,##0.00\)">
                  <c:v>1154.4346985836962</c:v>
                </c:pt>
                <c:pt idx="1">
                  <c:v>1568.2782718421013</c:v>
                </c:pt>
                <c:pt idx="2">
                  <c:v>1449.1292503121117</c:v>
                </c:pt>
                <c:pt idx="3">
                  <c:v>1341.2081134710331</c:v>
                </c:pt>
                <c:pt idx="4">
                  <c:v>1243.326873380651</c:v>
                </c:pt>
                <c:pt idx="5">
                  <c:v>1154.4346985836962</c:v>
                </c:pt>
                <c:pt idx="6">
                  <c:v>1073.6008705141469</c:v>
                </c:pt>
                <c:pt idx="7">
                  <c:v>1000</c:v>
                </c:pt>
                <c:pt idx="8">
                  <c:v>932.89918601058559</c:v>
                </c:pt>
                <c:pt idx="9">
                  <c:v>871.64684597681992</c:v>
                </c:pt>
                <c:pt idx="10">
                  <c:v>815.66298682885952</c:v>
                </c:pt>
                <c:pt idx="11">
                  <c:v>764.43071955435164</c:v>
                </c:pt>
                <c:pt idx="12">
                  <c:v>717.48884857945666</c:v>
                </c:pt>
                <c:pt idx="13">
                  <c:v>674.42539144282716</c:v>
                </c:pt>
                <c:pt idx="14">
                  <c:v>634.87190475944931</c:v>
                </c:pt>
                <c:pt idx="15">
                  <c:v>598.49850993166183</c:v>
                </c:pt>
                <c:pt idx="16">
                  <c:v>565.00952693882755</c:v>
                </c:pt>
                <c:pt idx="17">
                  <c:v>534.1396372266496</c:v>
                </c:pt>
                <c:pt idx="18">
                  <c:v>505.6505075583147</c:v>
                </c:pt>
                <c:pt idx="19">
                  <c:v>479.32781596484563</c:v>
                </c:pt>
                <c:pt idx="20">
                  <c:v>454.97862887839966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9-4B16-8C40-152C264B9F8B}"/>
            </c:ext>
          </c:extLst>
        </c:ser>
        <c:ser>
          <c:idx val="1"/>
          <c:order val="1"/>
          <c:tx>
            <c:strRef>
              <c:f>'Duration and convexity approxim'!$C$27</c:f>
              <c:strCache>
                <c:ptCount val="1"/>
                <c:pt idx="0">
                  <c:v>Price(duration)</c:v>
                </c:pt>
              </c:strCache>
            </c:strRef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xVal>
            <c:numRef>
              <c:f>'Duration and convexity approxim'!$A$28:$A$48</c:f>
              <c:numCache>
                <c:formatCode>0%</c:formatCode>
                <c:ptCount val="21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xVal>
          <c:yVal>
            <c:numRef>
              <c:f>'Duration and convexity approxim'!$C$28:$C$48</c:f>
              <c:numCache>
                <c:formatCode>General</c:formatCode>
                <c:ptCount val="21"/>
                <c:pt idx="0" formatCode="&quot;₹&quot;#,##0.00_);[Red]\(&quot;₹&quot;#,##0.00\)">
                  <c:v>1140.4716308186521</c:v>
                </c:pt>
                <c:pt idx="1">
                  <c:v>1421.4148924559561</c:v>
                </c:pt>
                <c:pt idx="2">
                  <c:v>1351.17907704663</c:v>
                </c:pt>
                <c:pt idx="3">
                  <c:v>1280.943261637304</c:v>
                </c:pt>
                <c:pt idx="4">
                  <c:v>1210.7074462279782</c:v>
                </c:pt>
                <c:pt idx="5">
                  <c:v>1140.4716308186521</c:v>
                </c:pt>
                <c:pt idx="6">
                  <c:v>1070.2358154093261</c:v>
                </c:pt>
                <c:pt idx="7">
                  <c:v>1000</c:v>
                </c:pt>
                <c:pt idx="8">
                  <c:v>929.76418459067395</c:v>
                </c:pt>
                <c:pt idx="9">
                  <c:v>859.52836918134801</c:v>
                </c:pt>
                <c:pt idx="10">
                  <c:v>789.29255377202196</c:v>
                </c:pt>
                <c:pt idx="11">
                  <c:v>719.05673836269602</c:v>
                </c:pt>
                <c:pt idx="12">
                  <c:v>648.82092295337009</c:v>
                </c:pt>
                <c:pt idx="13">
                  <c:v>578.58510754404404</c:v>
                </c:pt>
                <c:pt idx="14">
                  <c:v>508.34929213471793</c:v>
                </c:pt>
                <c:pt idx="15">
                  <c:v>438.11347672539205</c:v>
                </c:pt>
                <c:pt idx="16">
                  <c:v>367.87766131606605</c:v>
                </c:pt>
                <c:pt idx="17">
                  <c:v>297.64184590673995</c:v>
                </c:pt>
                <c:pt idx="18">
                  <c:v>227.40603049741404</c:v>
                </c:pt>
                <c:pt idx="19">
                  <c:v>157.17021508808804</c:v>
                </c:pt>
                <c:pt idx="20">
                  <c:v>86.934399678761935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79-4B16-8C40-152C264B9F8B}"/>
            </c:ext>
          </c:extLst>
        </c:ser>
        <c:ser>
          <c:idx val="2"/>
          <c:order val="2"/>
          <c:tx>
            <c:strRef>
              <c:f>'Duration and convexity approxim'!$D$27</c:f>
              <c:strCache>
                <c:ptCount val="1"/>
                <c:pt idx="0">
                  <c:v>Price(duration + Convexity)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'Duration and convexity approxim'!$A$28:$A$48</c:f>
              <c:numCache>
                <c:formatCode>0%</c:formatCode>
                <c:ptCount val="21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xVal>
          <c:yVal>
            <c:numRef>
              <c:f>'Duration and convexity approxim'!$D$28:$D$48</c:f>
              <c:numCache>
                <c:formatCode>General</c:formatCode>
                <c:ptCount val="21"/>
                <c:pt idx="0" formatCode="&quot;₹&quot;#,##0.00_);[Red]\(&quot;₹&quot;#,##0.00\)">
                  <c:v>1153.4582226875475</c:v>
                </c:pt>
                <c:pt idx="1">
                  <c:v>1538.2942192760165</c:v>
                </c:pt>
                <c:pt idx="2">
                  <c:v>1432.3452762272277</c:v>
                </c:pt>
                <c:pt idx="3">
                  <c:v>1332.8896291128865</c:v>
                </c:pt>
                <c:pt idx="4">
                  <c:v>1239.9272779329933</c:v>
                </c:pt>
                <c:pt idx="5">
                  <c:v>1153.4582226875475</c:v>
                </c:pt>
                <c:pt idx="6">
                  <c:v>1073.48246337655</c:v>
                </c:pt>
                <c:pt idx="7">
                  <c:v>1000</c:v>
                </c:pt>
                <c:pt idx="8">
                  <c:v>933.01083255789786</c:v>
                </c:pt>
                <c:pt idx="9">
                  <c:v>872.51496105024364</c:v>
                </c:pt>
                <c:pt idx="10">
                  <c:v>818.51238547703724</c:v>
                </c:pt>
                <c:pt idx="11">
                  <c:v>771.00310583827843</c:v>
                </c:pt>
                <c:pt idx="12">
                  <c:v>729.98712213396766</c:v>
                </c:pt>
                <c:pt idx="13">
                  <c:v>695.46443436410459</c:v>
                </c:pt>
                <c:pt idx="14">
                  <c:v>667.43504252868922</c:v>
                </c:pt>
                <c:pt idx="15">
                  <c:v>645.8989466277219</c:v>
                </c:pt>
                <c:pt idx="16">
                  <c:v>630.85614666120216</c:v>
                </c:pt>
                <c:pt idx="17">
                  <c:v>622.30664262913035</c:v>
                </c:pt>
                <c:pt idx="18">
                  <c:v>620.25043453150624</c:v>
                </c:pt>
                <c:pt idx="19">
                  <c:v>624.68752236833018</c:v>
                </c:pt>
                <c:pt idx="20">
                  <c:v>635.61790613960181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79-4B16-8C40-152C264B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058624"/>
        <c:axId val="1079060064"/>
      </c:scatterChart>
      <c:valAx>
        <c:axId val="107905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060064"/>
        <c:crosses val="autoZero"/>
        <c:crossBetween val="midCat"/>
      </c:valAx>
      <c:valAx>
        <c:axId val="10790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058624"/>
        <c:crosses val="autoZero"/>
        <c:crossBetween val="midCat"/>
      </c:valAx>
      <c:spPr>
        <a:solidFill>
          <a:schemeClr val="accent1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927443973360916E-2"/>
          <c:y val="0.89263672708923647"/>
          <c:w val="0.89488303394792357"/>
          <c:h val="8.7989495107146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'Basic Immunisation'!$B$20</c:f>
              <c:strCache>
                <c:ptCount val="1"/>
                <c:pt idx="0">
                  <c:v>Bond 1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'Basic Immunisation'!$A$21:$A$42</c:f>
              <c:numCache>
                <c:formatCode>0%</c:formatCode>
                <c:ptCount val="22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</c:numCache>
            </c:numRef>
          </c:xVal>
          <c:yVal>
            <c:numRef>
              <c:f>'Basic Immunisation'!$B$21:$B$42</c:f>
              <c:numCache>
                <c:formatCode>General</c:formatCode>
                <c:ptCount val="22"/>
                <c:pt idx="0" formatCode="&quot;₹&quot;#,##0.00_);[Red]\(&quot;₹&quot;#,##0.00\)">
                  <c:v>1753.0500113650237</c:v>
                </c:pt>
                <c:pt idx="1">
                  <c:v>1591.4345170880301</c:v>
                </c:pt>
                <c:pt idx="2">
                  <c:v>1620.4119501129126</c:v>
                </c:pt>
                <c:pt idx="3">
                  <c:v>1650.9752569293037</c:v>
                </c:pt>
                <c:pt idx="4">
                  <c:v>1683.209319653583</c:v>
                </c:pt>
                <c:pt idx="5">
                  <c:v>1717.2031400149467</c:v>
                </c:pt>
                <c:pt idx="6">
                  <c:v>1753.0500113650237</c:v>
                </c:pt>
                <c:pt idx="7">
                  <c:v>1790.8476965428547</c:v>
                </c:pt>
                <c:pt idx="8">
                  <c:v>1830.6986117463814</c:v>
                </c:pt>
                <c:pt idx="9">
                  <c:v>1872.710016564293</c:v>
                </c:pt>
                <c:pt idx="10">
                  <c:v>1916.9942103246276</c:v>
                </c:pt>
                <c:pt idx="11">
                  <c:v>1963.6687349192655</c:v>
                </c:pt>
                <c:pt idx="12">
                  <c:v>2012.8565842660889</c:v>
                </c:pt>
                <c:pt idx="13">
                  <c:v>2064.6864205733145</c:v>
                </c:pt>
                <c:pt idx="14">
                  <c:v>2119.2927975732341</c:v>
                </c:pt>
                <c:pt idx="15">
                  <c:v>2176.8163908953693</c:v>
                </c:pt>
                <c:pt idx="16">
                  <c:v>2237.4042357517428</c:v>
                </c:pt>
                <c:pt idx="17">
                  <c:v>2301.209972109963</c:v>
                </c:pt>
                <c:pt idx="18">
                  <c:v>2368.3940975323553</c:v>
                </c:pt>
                <c:pt idx="19">
                  <c:v>2439.1242278625127</c:v>
                </c:pt>
                <c:pt idx="20">
                  <c:v>2513.5753659432926</c:v>
                </c:pt>
                <c:pt idx="21">
                  <c:v>2591.9301785532944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84-417C-9051-D559B353DBA1}"/>
            </c:ext>
          </c:extLst>
        </c:ser>
        <c:ser>
          <c:idx val="1"/>
          <c:order val="1"/>
          <c:tx>
            <c:strRef>
              <c:f>'Basic Immunisation'!$C$20</c:f>
              <c:strCache>
                <c:ptCount val="1"/>
                <c:pt idx="0">
                  <c:v>Bond 2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'Basic Immunisation'!$A$21:$A$42</c:f>
              <c:numCache>
                <c:formatCode>0%</c:formatCode>
                <c:ptCount val="22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</c:numCache>
            </c:numRef>
          </c:xVal>
          <c:yVal>
            <c:numRef>
              <c:f>'Basic Immunisation'!$C$21:$C$42</c:f>
              <c:numCache>
                <c:formatCode>General</c:formatCode>
                <c:ptCount val="22"/>
                <c:pt idx="0" formatCode="&quot;₹&quot;#,##0.00_);[Red]\(&quot;₹&quot;#,##0.00\)">
                  <c:v>1792.9101162813893</c:v>
                </c:pt>
                <c:pt idx="1">
                  <c:v>1868.5242704568586</c:v>
                </c:pt>
                <c:pt idx="2">
                  <c:v>1844.4255503905019</c:v>
                </c:pt>
                <c:pt idx="3">
                  <c:v>1824.9133199617265</c:v>
                </c:pt>
                <c:pt idx="4">
                  <c:v>1809.8798061396092</c:v>
                </c:pt>
                <c:pt idx="5">
                  <c:v>1799.2358982251446</c:v>
                </c:pt>
                <c:pt idx="6">
                  <c:v>1792.9101162813893</c:v>
                </c:pt>
                <c:pt idx="7">
                  <c:v>1790.8476965428545</c:v>
                </c:pt>
                <c:pt idx="8">
                  <c:v>1793.0097828086366</c:v>
                </c:pt>
                <c:pt idx="9">
                  <c:v>1799.3727140380593</c:v>
                </c:pt>
                <c:pt idx="10">
                  <c:v>1809.9273994402931</c:v>
                </c:pt>
                <c:pt idx="11">
                  <c:v>1824.6787732985356</c:v>
                </c:pt>
                <c:pt idx="12">
                  <c:v>1843.645322609784</c:v>
                </c:pt>
                <c:pt idx="13">
                  <c:v>1866.8586813666216</c:v>
                </c:pt>
                <c:pt idx="14">
                  <c:v>1894.363285969114</c:v>
                </c:pt>
                <c:pt idx="15">
                  <c:v>1926.2160868430724</c:v>
                </c:pt>
                <c:pt idx="16">
                  <c:v>1962.4863118641917</c:v>
                </c:pt>
                <c:pt idx="17">
                  <c:v>2003.2552776540067</c:v>
                </c:pt>
                <c:pt idx="18">
                  <c:v>2048.6162452290887</c:v>
                </c:pt>
                <c:pt idx="19">
                  <c:v>2098.6743168565126</c:v>
                </c:pt>
                <c:pt idx="20">
                  <c:v>2153.5463713001782</c:v>
                </c:pt>
                <c:pt idx="21">
                  <c:v>2213.3610349397131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4-417C-9051-D559B353DBA1}"/>
            </c:ext>
          </c:extLst>
        </c:ser>
        <c:ser>
          <c:idx val="2"/>
          <c:order val="2"/>
          <c:tx>
            <c:strRef>
              <c:f>'Basic Immunisation'!$D$20</c:f>
              <c:strCache>
                <c:ptCount val="1"/>
                <c:pt idx="0">
                  <c:v>Bond 3</c:v>
                </c:pt>
              </c:strCache>
            </c:strRef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xVal>
            <c:numRef>
              <c:f>'Basic Immunisation'!$A$21:$A$42</c:f>
              <c:numCache>
                <c:formatCode>0%</c:formatCode>
                <c:ptCount val="22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</c:numCache>
            </c:numRef>
          </c:xVal>
          <c:yVal>
            <c:numRef>
              <c:f>'Basic Immunisation'!$D$21:$D$42</c:f>
              <c:numCache>
                <c:formatCode>General</c:formatCode>
                <c:ptCount val="22"/>
                <c:pt idx="0" formatCode="&quot;₹&quot;#,##0.00_);[Red]\(&quot;₹&quot;#,##0.00\)">
                  <c:v>1883.7421009290899</c:v>
                </c:pt>
                <c:pt idx="1">
                  <c:v>2845.8642010366921</c:v>
                </c:pt>
                <c:pt idx="2">
                  <c:v>2563.9320306744421</c:v>
                </c:pt>
                <c:pt idx="3">
                  <c:v>2335.2569071584053</c:v>
                </c:pt>
                <c:pt idx="4">
                  <c:v>2150.4533714264594</c:v>
                </c:pt>
                <c:pt idx="5">
                  <c:v>2001.9750280932483</c:v>
                </c:pt>
                <c:pt idx="6">
                  <c:v>1883.7421009290899</c:v>
                </c:pt>
                <c:pt idx="7">
                  <c:v>1790.8476965428545</c:v>
                </c:pt>
                <c:pt idx="8">
                  <c:v>1719.3255539075208</c:v>
                </c:pt>
                <c:pt idx="9">
                  <c:v>1665.9659505028185</c:v>
                </c:pt>
                <c:pt idx="10">
                  <c:v>1628.1694219508092</c:v>
                </c:pt>
                <c:pt idx="11">
                  <c:v>1603.8302484969229</c:v>
                </c:pt>
                <c:pt idx="12">
                  <c:v>1591.2434324202354</c:v>
                </c:pt>
                <c:pt idx="13">
                  <c:v>1589.0302593134197</c:v>
                </c:pt>
                <c:pt idx="14">
                  <c:v>1596.078597037465</c:v>
                </c:pt>
                <c:pt idx="15">
                  <c:v>1611.4949103730758</c:v>
                </c:pt>
                <c:pt idx="16">
                  <c:v>1634.5656113176774</c:v>
                </c:pt>
                <c:pt idx="17">
                  <c:v>1664.7258661374055</c:v>
                </c:pt>
                <c:pt idx="18">
                  <c:v>1701.534372475212</c:v>
                </c:pt>
                <c:pt idx="19">
                  <c:v>1744.652927452473</c:v>
                </c:pt>
                <c:pt idx="20">
                  <c:v>1793.829849568669</c:v>
                </c:pt>
                <c:pt idx="21">
                  <c:v>1848.8865077962371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4-417C-9051-D559B353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54864"/>
        <c:axId val="1596748624"/>
      </c:scatterChart>
      <c:valAx>
        <c:axId val="15967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48624"/>
        <c:crosses val="autoZero"/>
        <c:crossBetween val="midCat"/>
      </c:valAx>
      <c:valAx>
        <c:axId val="15967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54864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Immunisation</a:t>
            </a:r>
          </a:p>
        </c:rich>
      </c:tx>
      <c:layout>
        <c:manualLayout>
          <c:xMode val="edge"/>
          <c:yMode val="edge"/>
          <c:x val="0.417411913530198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'Duration convexity'!$C$24</c:f>
              <c:strCache>
                <c:ptCount val="1"/>
                <c:pt idx="0">
                  <c:v>Bond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'Duration convexity'!$A$25:$A$51</c:f>
              <c:numCache>
                <c:formatCode>0%</c:formatCode>
                <c:ptCount val="27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</c:numCache>
            </c:numRef>
          </c:xVal>
          <c:yVal>
            <c:numRef>
              <c:f>'Duration convexity'!$C$25:$C$51</c:f>
              <c:numCache>
                <c:formatCode>General</c:formatCode>
                <c:ptCount val="27"/>
                <c:pt idx="0" formatCode="&quot;₹&quot;#,##0.00_);[Red]\(&quot;₹&quot;#,##0.00\)">
                  <c:v>1792.9101162813893</c:v>
                </c:pt>
                <c:pt idx="1">
                  <c:v>1868.5242704568586</c:v>
                </c:pt>
                <c:pt idx="2">
                  <c:v>1844.4255503905019</c:v>
                </c:pt>
                <c:pt idx="3">
                  <c:v>1824.9133199617265</c:v>
                </c:pt>
                <c:pt idx="4">
                  <c:v>1809.8798061396092</c:v>
                </c:pt>
                <c:pt idx="5">
                  <c:v>1799.2358982251446</c:v>
                </c:pt>
                <c:pt idx="6">
                  <c:v>1792.9101162813893</c:v>
                </c:pt>
                <c:pt idx="7">
                  <c:v>1790.8476965428545</c:v>
                </c:pt>
                <c:pt idx="8">
                  <c:v>1793.0097828086366</c:v>
                </c:pt>
                <c:pt idx="9">
                  <c:v>1799.3727140380593</c:v>
                </c:pt>
                <c:pt idx="10">
                  <c:v>1809.9273994402931</c:v>
                </c:pt>
                <c:pt idx="11">
                  <c:v>1824.6787732985356</c:v>
                </c:pt>
                <c:pt idx="12">
                  <c:v>1843.645322609784</c:v>
                </c:pt>
                <c:pt idx="13">
                  <c:v>1866.8586813666216</c:v>
                </c:pt>
                <c:pt idx="14">
                  <c:v>1894.363285969114</c:v>
                </c:pt>
                <c:pt idx="15">
                  <c:v>1926.2160868430724</c:v>
                </c:pt>
                <c:pt idx="16">
                  <c:v>1962.4863118641917</c:v>
                </c:pt>
                <c:pt idx="17">
                  <c:v>2003.2552776540067</c:v>
                </c:pt>
                <c:pt idx="18">
                  <c:v>2048.6162452290887</c:v>
                </c:pt>
                <c:pt idx="19">
                  <c:v>2098.6743168565126</c:v>
                </c:pt>
                <c:pt idx="20">
                  <c:v>2153.5463713001782</c:v>
                </c:pt>
                <c:pt idx="21">
                  <c:v>2213.3610349397131</c:v>
                </c:pt>
                <c:pt idx="22">
                  <c:v>2278.2586865095732</c:v>
                </c:pt>
                <c:pt idx="23">
                  <c:v>2348.3914934445893</c:v>
                </c:pt>
                <c:pt idx="24">
                  <c:v>2423.9234780323532</c:v>
                </c:pt>
                <c:pt idx="25">
                  <c:v>2505.0306117653399</c:v>
                </c:pt>
                <c:pt idx="26">
                  <c:v>2591.9009364588642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9-491E-B5DF-CBF907B2483E}"/>
            </c:ext>
          </c:extLst>
        </c:ser>
        <c:ser>
          <c:idx val="1"/>
          <c:order val="1"/>
          <c:tx>
            <c:strRef>
              <c:f>'Duration convexity'!$E$24</c:f>
              <c:strCache>
                <c:ptCount val="1"/>
                <c:pt idx="0">
                  <c:v>Portfolio of Bond 1 &amp; 3</c:v>
                </c:pt>
              </c:strCache>
            </c:strRef>
          </c:tx>
          <c:spPr>
            <a:ln w="190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xVal>
            <c:numRef>
              <c:f>'Duration convexity'!$A$25:$A$51</c:f>
              <c:numCache>
                <c:formatCode>0%</c:formatCode>
                <c:ptCount val="27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</c:numCache>
            </c:numRef>
          </c:xVal>
          <c:yVal>
            <c:numRef>
              <c:f>'Duration convexity'!$E$25:$E$51</c:f>
              <c:numCache>
                <c:formatCode>General</c:formatCode>
                <c:ptCount val="27"/>
                <c:pt idx="0">
                  <c:v>1795.1662609974151</c:v>
                </c:pt>
                <c:pt idx="1">
                  <c:v>1995.6814297488399</c:v>
                </c:pt>
                <c:pt idx="2">
                  <c:v>1924.4665212705943</c:v>
                </c:pt>
                <c:pt idx="3">
                  <c:v>1871.4888082547354</c:v>
                </c:pt>
                <c:pt idx="4">
                  <c:v>1833.7813029262961</c:v>
                </c:pt>
                <c:pt idx="5">
                  <c:v>1808.9724580096206</c:v>
                </c:pt>
                <c:pt idx="6">
                  <c:v>1795.1662609974151</c:v>
                </c:pt>
                <c:pt idx="7">
                  <c:v>1790.8476965428547</c:v>
                </c:pt>
                <c:pt idx="8">
                  <c:v>1794.8080270758774</c:v>
                </c:pt>
                <c:pt idx="9">
                  <c:v>1806.0855963311747</c:v>
                </c:pt>
                <c:pt idx="10">
                  <c:v>1823.9188227648367</c:v>
                </c:pt>
                <c:pt idx="11">
                  <c:v>1847.7087898907935</c:v>
                </c:pt>
                <c:pt idx="12">
                  <c:v>1876.9894111979374</c:v>
                </c:pt>
                <c:pt idx="13">
                  <c:v>1911.403588432303</c:v>
                </c:pt>
                <c:pt idx="14">
                  <c:v>1950.6841239000319</c:v>
                </c:pt>
                <c:pt idx="15">
                  <c:v>1994.6384130571728</c:v>
                </c:pt>
                <c:pt idx="16">
                  <c:v>2043.1361505187297</c:v>
                </c:pt>
                <c:pt idx="17">
                  <c:v>2096.0994441231173</c:v>
                </c:pt>
                <c:pt idx="18">
                  <c:v>2153.494858075886</c:v>
                </c:pt>
                <c:pt idx="19">
                  <c:v>2215.3270053361798</c:v>
                </c:pt>
                <c:pt idx="20">
                  <c:v>2281.6333873542326</c:v>
                </c:pt>
                <c:pt idx="21">
                  <c:v>2352.4802406897479</c:v>
                </c:pt>
                <c:pt idx="22">
                  <c:v>2427.9591985504294</c:v>
                </c:pt>
                <c:pt idx="23">
                  <c:v>2508.1846136868653</c:v>
                </c:pt>
                <c:pt idx="24">
                  <c:v>2593.291419539064</c:v>
                </c:pt>
                <c:pt idx="25">
                  <c:v>2683.4334307445074</c:v>
                </c:pt>
                <c:pt idx="26">
                  <c:v>2778.7820034091183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F9-491E-B5DF-CBF907B24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689584"/>
        <c:axId val="1596691024"/>
      </c:scatterChart>
      <c:valAx>
        <c:axId val="15966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691024"/>
        <c:crosses val="autoZero"/>
        <c:crossBetween val="midCat"/>
      </c:valAx>
      <c:valAx>
        <c:axId val="1596691024"/>
        <c:scaling>
          <c:orientation val="minMax"/>
          <c:min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689584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9948794991190542"/>
          <c:y val="0.95621323803703084"/>
          <c:w val="0.43723532280392652"/>
          <c:h val="3.2301768945151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601579</xdr:colOff>
      <xdr:row>6</xdr:row>
      <xdr:rowOff>6016</xdr:rowOff>
    </xdr:from>
    <xdr:to>
      <xdr:col>23</xdr:col>
      <xdr:colOff>213360</xdr:colOff>
      <xdr:row>24</xdr:row>
      <xdr:rowOff>152399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4CB492-E900-F3AD-A992-555F5C8EFC29}"/>
                </a:ext>
              </a:extLst>
            </xdr:cNvPr>
            <xdr:cNvSpPr txBox="1"/>
          </xdr:nvSpPr>
          <xdr:spPr>
            <a:xfrm>
              <a:off x="8630653" y="1016669"/>
              <a:ext cx="6317381" cy="3178341"/>
            </a:xfrm>
            <a:prstGeom prst="rect">
              <a:avLst/>
            </a:prstGeom>
            <a:solidFill>
              <a:schemeClr val="accent3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If this is one period</a:t>
              </a:r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less until redemption yield is calculated as follows: </a:t>
              </a:r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yield = 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en-IN" sz="16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en-IN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d>
                            <m:dPr>
                              <m:ctrlP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IN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𝑅𝑒𝑑𝑒𝑚𝑝𝑡𝑖𝑜𝑛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100</m:t>
                                  </m:r>
                                </m:den>
                              </m:f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 +</m:t>
                              </m:r>
                              <m:f>
                                <m:fPr>
                                  <m:ctrlP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𝑅𝑎𝑡𝑒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𝐹𝑟𝑒𝑞𝑢𝑒𝑛𝑐𝑦</m:t>
                                  </m:r>
                                </m:den>
                              </m:f>
                            </m:e>
                          </m:d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−(</m:t>
                          </m:r>
                          <m:f>
                            <m:fPr>
                              <m:ctrlP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𝑃𝑎𝑟</m:t>
                              </m:r>
                            </m:num>
                            <m:den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100</m:t>
                              </m:r>
                            </m:den>
                          </m:f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d>
                            <m:dPr>
                              <m:ctrlP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𝐴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𝐸</m:t>
                                  </m:r>
                                </m:den>
                              </m:f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×</m:t>
                              </m:r>
                              <m:f>
                                <m:fPr>
                                  <m:ctrlP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𝑅𝑎𝑡𝑒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𝐹𝑟𝑒𝑞𝑢𝑒𝑛𝑐𝑦</m:t>
                                  </m:r>
                                </m:den>
                              </m:f>
                            </m:e>
                          </m:d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en-IN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𝑃𝑎𝑟</m:t>
                              </m:r>
                            </m:num>
                            <m:den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100</m:t>
                              </m:r>
                            </m:den>
                          </m:f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d>
                            <m:dPr>
                              <m:ctrlP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𝐴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𝐸</m:t>
                                  </m:r>
                                </m:den>
                              </m:f>
                              <m:r>
                                <a:rPr lang="en-GB" sz="16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×</m:t>
                              </m:r>
                              <m:f>
                                <m:fPr>
                                  <m:ctrlP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𝑅𝑎𝑡𝑒</m:t>
                                  </m:r>
                                </m:num>
                                <m:den>
                                  <m:r>
                                    <a:rPr lang="en-GB" sz="16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𝐹𝑟𝑒𝑞𝑢𝑒𝑛𝑐𝑦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  <m:r>
                    <a:rPr lang="en-IN" sz="16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d>
                    <m:dPr>
                      <m:begChr m:val="⌊"/>
                      <m:endChr m:val="⌋"/>
                      <m:ctrlPr>
                        <a:rPr lang="en-IN" sz="16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en-IN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𝐹𝑟𝑒𝑞𝑢𝑒𝑛𝑐𝑦</m:t>
                          </m:r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×</m:t>
                          </m:r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num>
                        <m:den>
                          <m:r>
                            <a:rPr lang="en-GB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𝐷𝑆𝑅</m:t>
                          </m:r>
                        </m:den>
                      </m:f>
                    </m:e>
                  </m:d>
                </m:oMath>
              </a14:m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 = # no of days</a:t>
              </a:r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from the beginning of the coupon period to the settlement days(accrued days) </a:t>
              </a: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DSR = no. of days from the settlement date of the redemption date</a:t>
              </a: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 = no of days in the coupon period until redemption</a:t>
              </a:r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4CB492-E900-F3AD-A992-555F5C8EFC29}"/>
                </a:ext>
              </a:extLst>
            </xdr:cNvPr>
            <xdr:cNvSpPr txBox="1"/>
          </xdr:nvSpPr>
          <xdr:spPr>
            <a:xfrm>
              <a:off x="8630653" y="1016669"/>
              <a:ext cx="6317381" cy="3178341"/>
            </a:xfrm>
            <a:prstGeom prst="rect">
              <a:avLst/>
            </a:prstGeom>
            <a:solidFill>
              <a:schemeClr val="accent3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If this is one period</a:t>
              </a:r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less until redemption yield is calculated as follows: </a:t>
              </a:r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yield = </a:t>
              </a:r>
              <a:r>
                <a:rPr lang="en-IN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[(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(𝑅𝑒𝑑𝑒𝑚𝑝𝑡𝑖𝑜𝑛</a:t>
              </a:r>
              <a:r>
                <a:rPr lang="en-IN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100  +𝑅𝑎𝑡𝑒/𝐹𝑟𝑒𝑞𝑢𝑒𝑛𝑐𝑦)−(𝑃𝑎𝑟/100+(𝐴/𝐸×𝑅𝑎𝑡𝑒/𝐹𝑟𝑒𝑞𝑢𝑒𝑛𝑐𝑦))</a:t>
              </a:r>
              <a:r>
                <a:rPr lang="en-IN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𝑃𝑎𝑟</a:t>
              </a:r>
              <a:r>
                <a:rPr lang="en-IN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100+(𝐴/𝐸×𝑅𝑎𝑡𝑒/𝐹𝑟𝑒𝑞𝑢𝑒𝑛𝑐𝑦) </a:t>
              </a:r>
              <a:r>
                <a:rPr lang="en-IN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]</a:t>
              </a:r>
              <a:r>
                <a:rPr lang="en-IN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×⌊(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𝐹𝑟𝑒𝑞𝑢𝑒𝑛𝑐𝑦×𝐸</a:t>
              </a:r>
              <a:r>
                <a:rPr lang="en-IN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𝐷𝑆𝑅⌋</a:t>
              </a:r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 = # no of days</a:t>
              </a:r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from the beginning of the coupon period to the settlement days(accrued days) </a:t>
              </a: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DSR = no. of days from the settlement date of the redemption date</a:t>
              </a:r>
            </a:p>
            <a:p>
              <a:pPr algn="ctr"/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algn="ctr"/>
              <a:r>
                <a:rPr lang="en-IN" sz="16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 = no of days in the coupon period until redemption</a:t>
              </a:r>
              <a:endParaRPr lang="en-IN" sz="16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548640</xdr:colOff>
      <xdr:row>3</xdr:row>
      <xdr:rowOff>129540</xdr:rowOff>
    </xdr:from>
    <xdr:to>
      <xdr:col>16</xdr:col>
      <xdr:colOff>114300</xdr:colOff>
      <xdr:row>11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83E4905-6295-05D1-1DC5-C3874743D610}"/>
            </a:ext>
          </a:extLst>
        </xdr:cNvPr>
        <xdr:cNvSpPr txBox="1"/>
      </xdr:nvSpPr>
      <xdr:spPr>
        <a:xfrm>
          <a:off x="9281160" y="967740"/>
          <a:ext cx="2613660" cy="12192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The change in Bond Price is approximately ∆P≈ - Duration*Price*∆YTM/(1+YTM)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1653540</xdr:colOff>
      <xdr:row>1</xdr:row>
      <xdr:rowOff>15240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18F9DF-2D35-CC19-4532-1C1736179B70}"/>
            </a:ext>
          </a:extLst>
        </xdr:cNvPr>
        <xdr:cNvSpPr txBox="1"/>
      </xdr:nvSpPr>
      <xdr:spPr>
        <a:xfrm>
          <a:off x="3970020" y="18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10</xdr:col>
      <xdr:colOff>495300</xdr:colOff>
      <xdr:row>3</xdr:row>
      <xdr:rowOff>7620</xdr:rowOff>
    </xdr:from>
    <xdr:to>
      <xdr:col>18</xdr:col>
      <xdr:colOff>144780</xdr:colOff>
      <xdr:row>16</xdr:row>
      <xdr:rowOff>129540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6AD5B9-AF74-8283-57DA-3D3D3DEF4588}"/>
            </a:ext>
          </a:extLst>
        </xdr:cNvPr>
        <xdr:cNvSpPr txBox="1"/>
      </xdr:nvSpPr>
      <xdr:spPr>
        <a:xfrm>
          <a:off x="10523220" y="510540"/>
          <a:ext cx="4526280" cy="2301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Duration is convex combination of current yield and present value factor: </a:t>
          </a:r>
        </a:p>
        <a:p>
          <a:pPr algn="ctr"/>
          <a:endParaRPr lang="en-IN" sz="1100" b="1"/>
        </a:p>
        <a:p>
          <a:pPr algn="ctr"/>
          <a:endParaRPr lang="en-IN" sz="1100" b="1"/>
        </a:p>
        <a:p>
          <a:pPr algn="ctr"/>
          <a:r>
            <a:rPr lang="en-IN" sz="1100" b="1"/>
            <a:t>D = N*(</a:t>
          </a:r>
          <a:r>
            <a:rPr lang="en-I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1-y/YTM)</a:t>
          </a:r>
          <a:r>
            <a:rPr lang="en-IN" sz="1100" b="1"/>
            <a:t>+(</a:t>
          </a:r>
          <a:r>
            <a:rPr lang="en-I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y/ YTM)</a:t>
          </a:r>
          <a:r>
            <a:rPr lang="en-IN" sz="1100" b="1"/>
            <a:t>*PV(YTM,N,1)*(1+YTM)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565896</xdr:colOff>
      <xdr:row>14</xdr:row>
      <xdr:rowOff>34738</xdr:rowOff>
    </xdr:from>
    <xdr:to>
      <xdr:col>20</xdr:col>
      <xdr:colOff>605116</xdr:colOff>
      <xdr:row>31</xdr:row>
      <xdr:rowOff>22411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2E9D5E0-E407-C064-DFFA-107FB5D59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309034</xdr:colOff>
      <xdr:row>20</xdr:row>
      <xdr:rowOff>143933</xdr:rowOff>
    </xdr:from>
    <xdr:to>
      <xdr:col>36</xdr:col>
      <xdr:colOff>4234</xdr:colOff>
      <xdr:row>37</xdr:row>
      <xdr:rowOff>8467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B5E8F-0D59-2B68-5CB0-DFC4CAE47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148590</xdr:rowOff>
    </xdr:from>
    <xdr:to>
      <xdr:col>12</xdr:col>
      <xdr:colOff>541020</xdr:colOff>
      <xdr:row>35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79338D-16F5-AEE3-0C8F-E485E5063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4</xdr:row>
      <xdr:rowOff>114300</xdr:rowOff>
    </xdr:from>
    <xdr:to>
      <xdr:col>13</xdr:col>
      <xdr:colOff>259080</xdr:colOff>
      <xdr:row>14</xdr:row>
      <xdr:rowOff>152400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718C39-6500-460B-3232-FF97AC8AD0F2}"/>
                </a:ext>
              </a:extLst>
            </xdr:cNvPr>
            <xdr:cNvSpPr txBox="1"/>
          </xdr:nvSpPr>
          <xdr:spPr>
            <a:xfrm>
              <a:off x="8930640" y="883920"/>
              <a:ext cx="3573780" cy="15468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100"/>
                <a:t>Logic</a:t>
              </a:r>
              <a:r>
                <a:rPr lang="en-IN" sz="1100" baseline="0"/>
                <a:t> for Price approximation formula</a:t>
              </a:r>
              <a:r>
                <a:rPr lang="en-IN" sz="1100" b="1" baseline="0"/>
                <a:t>: </a:t>
              </a:r>
              <a14:m>
                <m:oMath xmlns:m="http://schemas.openxmlformats.org/officeDocument/2006/math">
                  <m:f>
                    <m:fPr>
                      <m:ctrlPr>
                        <a:rPr lang="en-IN" sz="1100" b="1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IN" sz="1100" b="1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∆</m:t>
                      </m:r>
                      <m:r>
                        <a:rPr lang="en-US" sz="1100" b="1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𝑷</m:t>
                      </m:r>
                    </m:num>
                    <m:den>
                      <m:r>
                        <a:rPr lang="en-US" sz="1100" b="1" i="1" baseline="0">
                          <a:latin typeface="Cambria Math" panose="02040503050406030204" pitchFamily="18" charset="0"/>
                        </a:rPr>
                        <m:t>𝑷</m:t>
                      </m:r>
                    </m:den>
                  </m:f>
                </m:oMath>
              </a14:m>
              <a:r>
                <a:rPr lang="en-IN" sz="1100" b="1"/>
                <a:t> = -D*</a:t>
              </a:r>
              <a14:m>
                <m:oMath xmlns:m="http://schemas.openxmlformats.org/officeDocument/2006/math">
                  <m:r>
                    <a:rPr lang="en-IN" sz="11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r>
                    <a:rPr lang="en-US" sz="11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∆</m:t>
                  </m:r>
                  <m:r>
                    <a:rPr lang="en-US" sz="11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𝒚</m:t>
                  </m:r>
                </m:oMath>
              </a14:m>
              <a:endParaRPr lang="en-US" sz="1100" b="1">
                <a:ea typeface="Cambria Math" panose="02040503050406030204" pitchFamily="18" charset="0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/>
                <a:t>Thus,</a:t>
              </a:r>
              <a:r>
                <a:rPr lang="en-IN" sz="1100" baseline="0"/>
                <a:t> </a:t>
              </a:r>
              <a:r>
                <a:rPr lang="en-IN" sz="1100" b="1" baseline="0"/>
                <a:t>P</a:t>
              </a:r>
              <a14:m>
                <m:oMath xmlns:m="http://schemas.openxmlformats.org/officeDocument/2006/math">
                  <m:r>
                    <a:rPr lang="en-US" sz="1100" b="1" i="1" baseline="0">
                      <a:latin typeface="Cambria Math" panose="02040503050406030204" pitchFamily="18" charset="0"/>
                    </a:rPr>
                    <m:t>𝒏𝒆𝒘</m:t>
                  </m:r>
                  <m:r>
                    <a:rPr lang="en-US" sz="1100" b="1" i="1" baseline="0">
                      <a:latin typeface="Cambria Math" panose="02040503050406030204" pitchFamily="18" charset="0"/>
                    </a:rPr>
                    <m:t>=</m:t>
                  </m:r>
                  <m:r>
                    <a:rPr lang="en-US" sz="1100" b="1" i="1" baseline="0">
                      <a:latin typeface="Cambria Math" panose="02040503050406030204" pitchFamily="18" charset="0"/>
                    </a:rPr>
                    <m:t>𝑷</m:t>
                  </m:r>
                  <m:r>
                    <a:rPr lang="en-US" sz="1100" b="1" i="1" baseline="0">
                      <a:latin typeface="Cambria Math" panose="02040503050406030204" pitchFamily="18" charset="0"/>
                    </a:rPr>
                    <m:t>(</m:t>
                  </m:r>
                  <m:r>
                    <a:rPr lang="en-US" sz="1100" b="1" i="1" baseline="0">
                      <a:latin typeface="Cambria Math" panose="02040503050406030204" pitchFamily="18" charset="0"/>
                    </a:rPr>
                    <m:t>𝟏</m:t>
                  </m:r>
                  <m:r>
                    <a:rPr lang="en-US" sz="1100" b="1" i="1" baseline="0">
                      <a:latin typeface="Cambria Math" panose="02040503050406030204" pitchFamily="18" charset="0"/>
                    </a:rPr>
                    <m:t>−</m:t>
                  </m:r>
                </m:oMath>
              </a14:m>
              <a:r>
                <a:rPr lang="en-IN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D*</a:t>
              </a:r>
              <a14:m>
                <m:oMath xmlns:m="http://schemas.openxmlformats.org/officeDocument/2006/math">
                  <m:r>
                    <a:rPr lang="en-IN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∆</m:t>
                  </m:r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𝒚</m:t>
                  </m:r>
                </m:oMath>
              </a14:m>
              <a:r>
                <a:rPr lang="en-IN" b="1">
                  <a:effectLst/>
                </a:rPr>
                <a:t>)</a:t>
              </a:r>
            </a:p>
            <a:p>
              <a:endParaRPr lang="en-IN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718C39-6500-460B-3232-FF97AC8AD0F2}"/>
                </a:ext>
              </a:extLst>
            </xdr:cNvPr>
            <xdr:cNvSpPr txBox="1"/>
          </xdr:nvSpPr>
          <xdr:spPr>
            <a:xfrm>
              <a:off x="8930640" y="883920"/>
              <a:ext cx="3573780" cy="15468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100"/>
                <a:t>Logic</a:t>
              </a:r>
              <a:r>
                <a:rPr lang="en-IN" sz="1100" baseline="0"/>
                <a:t> for Price approximation formula</a:t>
              </a:r>
              <a:r>
                <a:rPr lang="en-IN" sz="1100" b="1" baseline="0"/>
                <a:t>: </a:t>
              </a:r>
              <a:r>
                <a:rPr lang="en-IN" sz="1100" b="1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∆</a:t>
              </a:r>
              <a:r>
                <a:rPr lang="en-US" sz="1100" b="1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n-IN" sz="1100" b="1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n-US" sz="1100" b="1" i="0" baseline="0">
                  <a:latin typeface="Cambria Math" panose="02040503050406030204" pitchFamily="18" charset="0"/>
                </a:rPr>
                <a:t>𝑷</a:t>
              </a:r>
              <a:r>
                <a:rPr lang="en-IN" sz="1100" b="1"/>
                <a:t> = -D*</a:t>
              </a:r>
              <a:r>
                <a:rPr lang="en-IN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∆𝒚</a:t>
              </a:r>
              <a:endParaRPr lang="en-US" sz="1100" b="1">
                <a:ea typeface="Cambria Math" panose="02040503050406030204" pitchFamily="18" charset="0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/>
                <a:t>Thus,</a:t>
              </a:r>
              <a:r>
                <a:rPr lang="en-IN" sz="1100" baseline="0"/>
                <a:t> </a:t>
              </a:r>
              <a:r>
                <a:rPr lang="en-IN" sz="1100" b="1" baseline="0"/>
                <a:t>P</a:t>
              </a:r>
              <a:r>
                <a:rPr lang="en-US" sz="1100" b="1" i="0" baseline="0">
                  <a:latin typeface="Cambria Math" panose="02040503050406030204" pitchFamily="18" charset="0"/>
                </a:rPr>
                <a:t>𝒏𝒆𝒘=𝑷(𝟏−</a:t>
              </a:r>
              <a:r>
                <a:rPr lang="en-IN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D*</a:t>
              </a:r>
              <a:r>
                <a:rPr lang="en-IN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∆𝒚</a:t>
              </a:r>
              <a:r>
                <a:rPr lang="en-IN" b="1">
                  <a:effectLst/>
                </a:rPr>
                <a:t>)</a:t>
              </a:r>
            </a:p>
            <a:p>
              <a:endParaRPr lang="en-IN" sz="1100"/>
            </a:p>
          </xdr:txBody>
        </xdr:sp>
      </mc:Fallback>
    </mc:AlternateContent>
    <xdr:clientData/>
  </xdr:twoCellAnchor>
  <xdr:twoCellAnchor>
    <xdr:from>
      <xdr:col>5</xdr:col>
      <xdr:colOff>601980</xdr:colOff>
      <xdr:row>17</xdr:row>
      <xdr:rowOff>0</xdr:rowOff>
    </xdr:from>
    <xdr:to>
      <xdr:col>17</xdr:col>
      <xdr:colOff>594360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B69C74-005A-173F-D5FB-0A71094BB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588818</xdr:colOff>
      <xdr:row>1</xdr:row>
      <xdr:rowOff>1</xdr:rowOff>
    </xdr:from>
    <xdr:to>
      <xdr:col>25</xdr:col>
      <xdr:colOff>392545</xdr:colOff>
      <xdr:row>39</xdr:row>
      <xdr:rowOff>11546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1639B8-A890-2329-EC2B-69D61C709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175260</xdr:colOff>
      <xdr:row>18</xdr:row>
      <xdr:rowOff>26670</xdr:rowOff>
    </xdr:from>
    <xdr:to>
      <xdr:col>19</xdr:col>
      <xdr:colOff>472440</xdr:colOff>
      <xdr:row>39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E92933-4F50-D09D-0F46-D12083206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</xdr:row>
      <xdr:rowOff>22860</xdr:rowOff>
    </xdr:from>
    <xdr:to>
      <xdr:col>15</xdr:col>
      <xdr:colOff>289560</xdr:colOff>
      <xdr:row>10</xdr:row>
      <xdr:rowOff>160020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132B106-2CD3-5769-9698-E24EDBC4440D}"/>
            </a:ext>
          </a:extLst>
        </xdr:cNvPr>
        <xdr:cNvSpPr txBox="1"/>
      </xdr:nvSpPr>
      <xdr:spPr>
        <a:xfrm>
          <a:off x="7200900" y="251460"/>
          <a:ext cx="4549140" cy="16459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Suppose you are trying to immunize an obligation at year 10 whose present</a:t>
          </a:r>
        </a:p>
        <a:p>
          <a:r>
            <a:rPr lang="en-IN" sz="1100"/>
            <a:t>value is $1,000 </a:t>
          </a:r>
        </a:p>
        <a:p>
          <a:r>
            <a:rPr lang="en-IN" sz="1100"/>
            <a:t>this means that, at the current interest rate of 6%, its future</a:t>
          </a:r>
        </a:p>
        <a:p>
          <a:r>
            <a:rPr lang="en-IN" sz="1100"/>
            <a:t>value is $1,000 · (1.06)10 = $1,790.85. </a:t>
          </a:r>
        </a:p>
        <a:p>
          <a:r>
            <a:rPr lang="en-IN" sz="1100" b="1"/>
            <a:t>You intend to immunize the obligation</a:t>
          </a:r>
        </a:p>
        <a:p>
          <a:r>
            <a:rPr lang="en-IN" sz="1100" b="1"/>
            <a:t>by purchasing $1,000 worth of a bond or a combination of bonds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99060</xdr:colOff>
      <xdr:row>11</xdr:row>
      <xdr:rowOff>79612</xdr:rowOff>
    </xdr:from>
    <xdr:to>
      <xdr:col>23</xdr:col>
      <xdr:colOff>443552</xdr:colOff>
      <xdr:row>46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FBC7AA-5D21-FC30-580F-5F224E60C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181CA-AFF6-4E32-AE48-75AA2F3F7DF0}">
  <sheetPr codeName="Sheet1"/>
  <dimension ref="A1:I34"/>
  <sheetViews>
    <sheetView tabSelected="1" topLeftCell="A5" zoomScale="95" workbookViewId="0">
      <selection activeCell="C33" sqref="C33"/>
    </sheetView>
  </sheetViews>
  <sheetFormatPr defaultRowHeight="13.2" x14ac:dyDescent="0.25"/>
  <cols>
    <col min="2" max="2" width="15" bestFit="1" customWidth="1"/>
    <col min="3" max="3" width="12" bestFit="1" customWidth="1"/>
    <col min="5" max="5" width="9.44140625" bestFit="1" customWidth="1"/>
    <col min="7" max="7" width="9.44140625" bestFit="1" customWidth="1"/>
  </cols>
  <sheetData>
    <row r="1" spans="1:8" x14ac:dyDescent="0.25">
      <c r="A1" t="s">
        <v>89</v>
      </c>
    </row>
    <row r="3" spans="1:8" x14ac:dyDescent="0.25">
      <c r="B3" t="s">
        <v>0</v>
      </c>
      <c r="C3" s="1">
        <v>100</v>
      </c>
    </row>
    <row r="4" spans="1:8" x14ac:dyDescent="0.25">
      <c r="B4" t="s">
        <v>1</v>
      </c>
      <c r="C4" s="2">
        <v>0.05</v>
      </c>
    </row>
    <row r="5" spans="1:8" x14ac:dyDescent="0.25">
      <c r="B5" t="s">
        <v>2</v>
      </c>
      <c r="C5" s="1">
        <v>2</v>
      </c>
    </row>
    <row r="6" spans="1:8" x14ac:dyDescent="0.25">
      <c r="B6" t="s">
        <v>3</v>
      </c>
      <c r="C6" s="2">
        <v>0.06</v>
      </c>
    </row>
    <row r="7" spans="1:8" x14ac:dyDescent="0.25">
      <c r="C7" s="3">
        <v>43830</v>
      </c>
      <c r="D7" s="3">
        <v>44012</v>
      </c>
      <c r="E7" s="3">
        <v>44196</v>
      </c>
      <c r="F7" s="3">
        <v>44377</v>
      </c>
      <c r="G7" s="3">
        <v>44561</v>
      </c>
      <c r="H7" s="3">
        <v>44742</v>
      </c>
    </row>
    <row r="8" spans="1:8" x14ac:dyDescent="0.25">
      <c r="B8" t="s">
        <v>4</v>
      </c>
      <c r="D8" s="1">
        <f>($C$4/$C$5)*$C$3</f>
        <v>2.5</v>
      </c>
      <c r="E8" s="1">
        <f t="shared" ref="E8:G8" si="0">($C$4/$C$5)*$C$3</f>
        <v>2.5</v>
      </c>
      <c r="F8" s="1">
        <f t="shared" si="0"/>
        <v>2.5</v>
      </c>
      <c r="G8" s="1">
        <f t="shared" si="0"/>
        <v>2.5</v>
      </c>
      <c r="H8" s="1">
        <f>G8+C3</f>
        <v>102.5</v>
      </c>
    </row>
    <row r="10" spans="1:8" x14ac:dyDescent="0.25">
      <c r="B10" t="s">
        <v>5</v>
      </c>
      <c r="C10" s="4">
        <f>NPV(C6/2,D8:H8)</f>
        <v>97.710146406402714</v>
      </c>
    </row>
    <row r="11" spans="1:8" x14ac:dyDescent="0.25">
      <c r="B11" t="s">
        <v>5</v>
      </c>
      <c r="C11">
        <f>PRICE(C7,H7,C4,C6,C3,2,3)</f>
        <v>97.710146406402743</v>
      </c>
    </row>
    <row r="13" spans="1:8" x14ac:dyDescent="0.25">
      <c r="B13" t="s">
        <v>3</v>
      </c>
      <c r="C13" s="5">
        <f>YIELD(C7,H7,C4,C10,100,2,3)</f>
        <v>5.9999999998724643E-2</v>
      </c>
    </row>
    <row r="15" spans="1:8" x14ac:dyDescent="0.25">
      <c r="B15" s="13" t="s">
        <v>45</v>
      </c>
    </row>
    <row r="16" spans="1:8" x14ac:dyDescent="0.25">
      <c r="C16" s="3">
        <v>43830</v>
      </c>
      <c r="D16" s="3">
        <v>44012</v>
      </c>
      <c r="E16" s="3">
        <v>44196</v>
      </c>
      <c r="F16" s="3">
        <v>44377</v>
      </c>
      <c r="G16" s="3">
        <v>44561</v>
      </c>
      <c r="H16" s="3">
        <v>44742</v>
      </c>
    </row>
    <row r="17" spans="1:9" x14ac:dyDescent="0.25">
      <c r="B17" t="s">
        <v>4</v>
      </c>
      <c r="C17" s="4">
        <f>-C10</f>
        <v>-97.710146406402714</v>
      </c>
      <c r="D17" s="1">
        <f>($C$4/$C$5)*$C$3</f>
        <v>2.5</v>
      </c>
      <c r="E17" s="1">
        <f t="shared" ref="E17:G17" si="1">($C$4/$C$5)*$C$3</f>
        <v>2.5</v>
      </c>
      <c r="F17" s="1">
        <f t="shared" si="1"/>
        <v>2.5</v>
      </c>
      <c r="G17" s="1">
        <f t="shared" si="1"/>
        <v>2.5</v>
      </c>
      <c r="H17" s="1">
        <f>G17+C3</f>
        <v>102.5</v>
      </c>
    </row>
    <row r="19" spans="1:9" x14ac:dyDescent="0.25">
      <c r="B19" t="s">
        <v>3</v>
      </c>
      <c r="C19" s="2">
        <f>IRR(C17:H17)*2</f>
        <v>6.0000000004379661E-2</v>
      </c>
    </row>
    <row r="21" spans="1:9" x14ac:dyDescent="0.25">
      <c r="A21" s="31"/>
      <c r="B21" s="31"/>
      <c r="C21" s="31"/>
      <c r="D21" s="31"/>
      <c r="E21" s="31"/>
      <c r="F21" s="31"/>
      <c r="G21" s="31"/>
      <c r="H21" s="31"/>
      <c r="I21" s="31"/>
    </row>
    <row r="22" spans="1:9" x14ac:dyDescent="0.25">
      <c r="A22" s="31"/>
      <c r="B22" s="31" t="s">
        <v>0</v>
      </c>
      <c r="C22" s="32">
        <v>100</v>
      </c>
      <c r="D22" s="31"/>
      <c r="E22" s="31"/>
      <c r="F22" s="31"/>
      <c r="G22" s="31"/>
      <c r="H22" s="31"/>
      <c r="I22" s="31"/>
    </row>
    <row r="23" spans="1:9" x14ac:dyDescent="0.25">
      <c r="A23" s="31"/>
      <c r="B23" s="31" t="s">
        <v>1</v>
      </c>
      <c r="C23" s="33">
        <v>0.05</v>
      </c>
      <c r="D23" s="31"/>
      <c r="E23" s="31"/>
      <c r="F23" s="31"/>
      <c r="G23" s="31"/>
      <c r="H23" s="31"/>
      <c r="I23" s="31"/>
    </row>
    <row r="24" spans="1:9" x14ac:dyDescent="0.25">
      <c r="A24" s="31"/>
      <c r="B24" s="31" t="s">
        <v>2</v>
      </c>
      <c r="C24" s="32">
        <v>2</v>
      </c>
      <c r="D24" s="31"/>
      <c r="E24" s="31"/>
      <c r="F24" s="31"/>
      <c r="G24" s="31"/>
      <c r="H24" s="31"/>
      <c r="I24" s="31"/>
    </row>
    <row r="25" spans="1:9" x14ac:dyDescent="0.25">
      <c r="A25" s="31"/>
      <c r="B25" s="31" t="s">
        <v>3</v>
      </c>
      <c r="C25" s="33">
        <v>0.06</v>
      </c>
      <c r="D25" s="31"/>
      <c r="E25" s="31"/>
      <c r="F25" s="31"/>
      <c r="G25" s="31"/>
      <c r="H25" s="31"/>
      <c r="I25" s="31"/>
    </row>
    <row r="26" spans="1:9" x14ac:dyDescent="0.25">
      <c r="A26" s="31"/>
      <c r="B26" s="31"/>
      <c r="C26" s="34">
        <v>43830</v>
      </c>
      <c r="D26" s="34">
        <v>44012</v>
      </c>
      <c r="E26" s="34">
        <v>44196</v>
      </c>
      <c r="F26" s="34">
        <v>44377</v>
      </c>
      <c r="G26" s="34">
        <v>44561</v>
      </c>
      <c r="H26" s="34">
        <v>44742</v>
      </c>
      <c r="I26" s="31"/>
    </row>
    <row r="27" spans="1:9" x14ac:dyDescent="0.25">
      <c r="A27" s="31"/>
      <c r="B27" s="31"/>
      <c r="C27" s="32">
        <f>-C30</f>
        <v>-97.710146406402743</v>
      </c>
      <c r="D27" s="32">
        <f>$C$4/$C$5*$C$3</f>
        <v>2.5</v>
      </c>
      <c r="E27" s="32">
        <f t="shared" ref="E27:G27" si="2">$C$4/$C$5*$C$3</f>
        <v>2.5</v>
      </c>
      <c r="F27" s="32">
        <f t="shared" si="2"/>
        <v>2.5</v>
      </c>
      <c r="G27" s="32">
        <f t="shared" si="2"/>
        <v>2.5</v>
      </c>
      <c r="H27" s="32">
        <f>$C$4/$C$5*$C$3+C22</f>
        <v>102.5</v>
      </c>
      <c r="I27" s="31"/>
    </row>
    <row r="28" spans="1:9" x14ac:dyDescent="0.25">
      <c r="A28" s="31"/>
      <c r="B28" s="31"/>
      <c r="C28" s="31"/>
      <c r="D28" s="31"/>
      <c r="E28" s="31"/>
      <c r="F28" s="31"/>
      <c r="G28" s="31"/>
      <c r="H28" s="31"/>
      <c r="I28" s="31"/>
    </row>
    <row r="29" spans="1:9" x14ac:dyDescent="0.25">
      <c r="A29" s="31"/>
      <c r="B29" s="31" t="s">
        <v>90</v>
      </c>
      <c r="C29" s="35">
        <f>NPV(C25/2,D27:H27)</f>
        <v>97.710146406402714</v>
      </c>
      <c r="D29" s="31"/>
      <c r="E29" s="31"/>
      <c r="F29" s="31"/>
      <c r="G29" s="31"/>
      <c r="H29" s="31"/>
      <c r="I29" s="31"/>
    </row>
    <row r="30" spans="1:9" x14ac:dyDescent="0.25">
      <c r="A30" s="31"/>
      <c r="B30" s="31" t="s">
        <v>91</v>
      </c>
      <c r="C30" s="32">
        <f>PRICE(C26,H26,C23,C25,C22,2,3)</f>
        <v>97.710146406402743</v>
      </c>
      <c r="D30" s="31"/>
      <c r="E30" s="31"/>
      <c r="F30" s="31"/>
      <c r="G30" s="31"/>
      <c r="H30" s="31"/>
      <c r="I30" s="31"/>
    </row>
    <row r="31" spans="1:9" x14ac:dyDescent="0.25">
      <c r="A31" s="31"/>
      <c r="B31" s="31"/>
      <c r="C31" s="31"/>
      <c r="D31" s="31"/>
      <c r="E31" s="31"/>
      <c r="F31" s="31"/>
      <c r="G31" s="31"/>
      <c r="H31" s="31"/>
      <c r="I31" s="31"/>
    </row>
    <row r="32" spans="1:9" x14ac:dyDescent="0.25">
      <c r="A32" s="31"/>
      <c r="B32" s="31" t="s">
        <v>92</v>
      </c>
      <c r="C32" s="36">
        <f>YIELD(C26,H26,C23,C30,C22,2,3)</f>
        <v>5.9999999998724386E-2</v>
      </c>
      <c r="D32" s="31"/>
      <c r="E32" s="31"/>
      <c r="F32" s="31"/>
      <c r="G32" s="31"/>
      <c r="H32" s="31"/>
      <c r="I32" s="31"/>
    </row>
    <row r="33" spans="1:9" x14ac:dyDescent="0.25">
      <c r="A33" s="31"/>
      <c r="B33" s="31" t="s">
        <v>93</v>
      </c>
      <c r="C33" s="33">
        <f>IRR(C27:H27)*2</f>
        <v>6.0000000004379661E-2</v>
      </c>
      <c r="D33" s="31"/>
      <c r="E33" s="31"/>
      <c r="F33" s="31"/>
      <c r="G33" s="31"/>
      <c r="H33" s="31"/>
      <c r="I33" s="31"/>
    </row>
    <row r="34" spans="1:9" x14ac:dyDescent="0.25">
      <c r="A34" s="31"/>
      <c r="B34" s="31"/>
      <c r="C34" s="31"/>
      <c r="D34" s="31"/>
      <c r="E34" s="31"/>
      <c r="F34" s="31"/>
      <c r="G34" s="31"/>
      <c r="H34" s="31"/>
      <c r="I34" s="3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C620C-7332-40A1-B59B-C93311107F68}">
  <sheetPr codeName="Sheet2"/>
  <dimension ref="A2:G36"/>
  <sheetViews>
    <sheetView topLeftCell="A10" workbookViewId="0">
      <selection activeCell="G42" sqref="G42"/>
    </sheetView>
  </sheetViews>
  <sheetFormatPr defaultRowHeight="13.2" x14ac:dyDescent="0.25"/>
  <cols>
    <col min="2" max="2" width="9.33203125" bestFit="1" customWidth="1"/>
    <col min="3" max="3" width="16.5546875" customWidth="1"/>
    <col min="4" max="4" width="24.44140625" customWidth="1"/>
    <col min="5" max="6" width="9.33203125" bestFit="1" customWidth="1"/>
    <col min="7" max="7" width="11.77734375" bestFit="1" customWidth="1"/>
  </cols>
  <sheetData>
    <row r="2" spans="1:7" x14ac:dyDescent="0.25">
      <c r="A2" t="s">
        <v>3</v>
      </c>
      <c r="B2" s="2">
        <v>7.0000000000000007E-2</v>
      </c>
    </row>
    <row r="3" spans="1:7" x14ac:dyDescent="0.25">
      <c r="A3" t="s">
        <v>32</v>
      </c>
      <c r="B3" t="s">
        <v>33</v>
      </c>
      <c r="C3" t="s">
        <v>34</v>
      </c>
      <c r="E3" t="s">
        <v>35</v>
      </c>
      <c r="F3" t="s">
        <v>36</v>
      </c>
    </row>
    <row r="4" spans="1:7" x14ac:dyDescent="0.25">
      <c r="A4">
        <v>1</v>
      </c>
      <c r="B4">
        <v>70</v>
      </c>
      <c r="C4">
        <f>B4*A4</f>
        <v>70</v>
      </c>
      <c r="E4">
        <v>130</v>
      </c>
      <c r="F4">
        <f>E4*A4</f>
        <v>130</v>
      </c>
      <c r="G4" t="e" cm="1">
        <f t="array" aca="1" ref="G4" ca="1">getformula(F4)</f>
        <v>#NAME?</v>
      </c>
    </row>
    <row r="5" spans="1:7" x14ac:dyDescent="0.25">
      <c r="A5">
        <v>2</v>
      </c>
      <c r="B5">
        <v>70</v>
      </c>
      <c r="C5">
        <f t="shared" ref="C5:C13" si="0">B5*A5</f>
        <v>140</v>
      </c>
      <c r="E5">
        <v>130</v>
      </c>
      <c r="F5">
        <f t="shared" ref="F5:F13" si="1">E5*A5</f>
        <v>260</v>
      </c>
    </row>
    <row r="6" spans="1:7" x14ac:dyDescent="0.25">
      <c r="A6">
        <v>3</v>
      </c>
      <c r="B6">
        <v>70</v>
      </c>
      <c r="C6">
        <f t="shared" si="0"/>
        <v>210</v>
      </c>
      <c r="E6">
        <v>130</v>
      </c>
      <c r="F6">
        <f t="shared" si="1"/>
        <v>390</v>
      </c>
    </row>
    <row r="7" spans="1:7" x14ac:dyDescent="0.25">
      <c r="A7">
        <v>4</v>
      </c>
      <c r="B7">
        <v>70</v>
      </c>
      <c r="C7">
        <f t="shared" si="0"/>
        <v>280</v>
      </c>
      <c r="E7">
        <v>130</v>
      </c>
      <c r="F7">
        <f t="shared" si="1"/>
        <v>520</v>
      </c>
    </row>
    <row r="8" spans="1:7" x14ac:dyDescent="0.25">
      <c r="A8">
        <v>5</v>
      </c>
      <c r="B8">
        <v>70</v>
      </c>
      <c r="C8">
        <f t="shared" si="0"/>
        <v>350</v>
      </c>
      <c r="E8">
        <v>130</v>
      </c>
      <c r="F8">
        <f t="shared" si="1"/>
        <v>650</v>
      </c>
    </row>
    <row r="9" spans="1:7" x14ac:dyDescent="0.25">
      <c r="A9">
        <v>6</v>
      </c>
      <c r="B9">
        <v>70</v>
      </c>
      <c r="C9">
        <f t="shared" si="0"/>
        <v>420</v>
      </c>
      <c r="E9">
        <v>130</v>
      </c>
      <c r="F9">
        <f t="shared" si="1"/>
        <v>780</v>
      </c>
    </row>
    <row r="10" spans="1:7" x14ac:dyDescent="0.25">
      <c r="A10">
        <v>7</v>
      </c>
      <c r="B10">
        <v>70</v>
      </c>
      <c r="C10">
        <f t="shared" si="0"/>
        <v>490</v>
      </c>
      <c r="E10">
        <v>130</v>
      </c>
      <c r="F10">
        <f t="shared" si="1"/>
        <v>910</v>
      </c>
    </row>
    <row r="11" spans="1:7" x14ac:dyDescent="0.25">
      <c r="A11">
        <v>8</v>
      </c>
      <c r="B11">
        <v>70</v>
      </c>
      <c r="C11">
        <f t="shared" si="0"/>
        <v>560</v>
      </c>
      <c r="E11">
        <v>130</v>
      </c>
      <c r="F11">
        <f t="shared" si="1"/>
        <v>1040</v>
      </c>
    </row>
    <row r="12" spans="1:7" x14ac:dyDescent="0.25">
      <c r="A12">
        <v>9</v>
      </c>
      <c r="B12">
        <v>70</v>
      </c>
      <c r="C12">
        <f t="shared" si="0"/>
        <v>630</v>
      </c>
      <c r="E12">
        <v>130</v>
      </c>
      <c r="F12">
        <f t="shared" si="1"/>
        <v>1170</v>
      </c>
    </row>
    <row r="13" spans="1:7" x14ac:dyDescent="0.25">
      <c r="A13">
        <v>10</v>
      </c>
      <c r="B13">
        <f>B12+1000</f>
        <v>1070</v>
      </c>
      <c r="C13">
        <f t="shared" si="0"/>
        <v>10700</v>
      </c>
      <c r="E13">
        <f>E12+1000</f>
        <v>1130</v>
      </c>
      <c r="F13">
        <f t="shared" si="1"/>
        <v>11300</v>
      </c>
      <c r="G13" t="e" cm="1">
        <f t="array" aca="1" ref="G13" ca="1">getformula(F13)</f>
        <v>#NAME?</v>
      </c>
    </row>
    <row r="15" spans="1:7" x14ac:dyDescent="0.25">
      <c r="A15" t="s">
        <v>12</v>
      </c>
      <c r="B15" s="4">
        <f>NPV($B$2,B4:B13)</f>
        <v>999.99999999999955</v>
      </c>
      <c r="E15" s="4">
        <f>NPV($B$2,E4:E13)</f>
        <v>1421.4148924559556</v>
      </c>
    </row>
    <row r="16" spans="1:7" x14ac:dyDescent="0.25">
      <c r="B16" s="4">
        <f>-PV($B$2,A13,B4,1000,0)</f>
        <v>1000</v>
      </c>
      <c r="E16" s="4">
        <f>-PV($B$2,A13,E4,1000,0)</f>
        <v>1421.4148924559563</v>
      </c>
    </row>
    <row r="17" spans="1:7" x14ac:dyDescent="0.25">
      <c r="A17" t="s">
        <v>13</v>
      </c>
      <c r="B17" s="4">
        <f>NPV($B$2,C4:C13)/B15</f>
        <v>7.5152322487978838</v>
      </c>
      <c r="E17" s="4">
        <f>NPV($B$2,F4:F13)/E15</f>
        <v>6.7535385303085134</v>
      </c>
    </row>
    <row r="19" spans="1:7" x14ac:dyDescent="0.25">
      <c r="A19" t="s">
        <v>37</v>
      </c>
    </row>
    <row r="21" spans="1:7" x14ac:dyDescent="0.25">
      <c r="A21" t="s">
        <v>7</v>
      </c>
      <c r="E21" t="s">
        <v>8</v>
      </c>
    </row>
    <row r="22" spans="1:7" x14ac:dyDescent="0.25">
      <c r="A22" t="s">
        <v>32</v>
      </c>
      <c r="B22" t="s">
        <v>94</v>
      </c>
      <c r="C22" t="s">
        <v>95</v>
      </c>
      <c r="E22" t="s">
        <v>32</v>
      </c>
      <c r="F22" t="s">
        <v>94</v>
      </c>
      <c r="G22" t="s">
        <v>95</v>
      </c>
    </row>
    <row r="23" spans="1:7" x14ac:dyDescent="0.25">
      <c r="A23">
        <v>1</v>
      </c>
      <c r="B23">
        <v>70</v>
      </c>
      <c r="C23">
        <f>A23*B23</f>
        <v>70</v>
      </c>
      <c r="E23">
        <v>1</v>
      </c>
      <c r="F23">
        <v>130</v>
      </c>
      <c r="G23">
        <f>E23*F23</f>
        <v>130</v>
      </c>
    </row>
    <row r="24" spans="1:7" x14ac:dyDescent="0.25">
      <c r="A24">
        <v>2</v>
      </c>
      <c r="B24">
        <v>70</v>
      </c>
      <c r="C24">
        <f t="shared" ref="C24:C32" si="2">A24*B24</f>
        <v>140</v>
      </c>
      <c r="E24">
        <v>2</v>
      </c>
      <c r="F24">
        <v>130</v>
      </c>
      <c r="G24">
        <f t="shared" ref="G24:G32" si="3">E24*F24</f>
        <v>260</v>
      </c>
    </row>
    <row r="25" spans="1:7" x14ac:dyDescent="0.25">
      <c r="A25">
        <v>3</v>
      </c>
      <c r="B25">
        <v>70</v>
      </c>
      <c r="C25">
        <f t="shared" si="2"/>
        <v>210</v>
      </c>
      <c r="E25">
        <v>3</v>
      </c>
      <c r="F25">
        <v>130</v>
      </c>
      <c r="G25">
        <f t="shared" si="3"/>
        <v>390</v>
      </c>
    </row>
    <row r="26" spans="1:7" x14ac:dyDescent="0.25">
      <c r="A26">
        <v>4</v>
      </c>
      <c r="B26">
        <v>70</v>
      </c>
      <c r="C26">
        <f t="shared" si="2"/>
        <v>280</v>
      </c>
      <c r="E26">
        <v>4</v>
      </c>
      <c r="F26">
        <v>130</v>
      </c>
      <c r="G26">
        <f t="shared" si="3"/>
        <v>520</v>
      </c>
    </row>
    <row r="27" spans="1:7" x14ac:dyDescent="0.25">
      <c r="A27">
        <v>5</v>
      </c>
      <c r="B27">
        <v>70</v>
      </c>
      <c r="C27">
        <f t="shared" si="2"/>
        <v>350</v>
      </c>
      <c r="E27">
        <v>5</v>
      </c>
      <c r="F27">
        <v>130</v>
      </c>
      <c r="G27">
        <f t="shared" si="3"/>
        <v>650</v>
      </c>
    </row>
    <row r="28" spans="1:7" x14ac:dyDescent="0.25">
      <c r="A28">
        <v>6</v>
      </c>
      <c r="B28">
        <v>70</v>
      </c>
      <c r="C28">
        <f t="shared" si="2"/>
        <v>420</v>
      </c>
      <c r="E28">
        <v>6</v>
      </c>
      <c r="F28">
        <v>130</v>
      </c>
      <c r="G28">
        <f t="shared" si="3"/>
        <v>780</v>
      </c>
    </row>
    <row r="29" spans="1:7" x14ac:dyDescent="0.25">
      <c r="A29">
        <v>7</v>
      </c>
      <c r="B29">
        <v>70</v>
      </c>
      <c r="C29">
        <f t="shared" si="2"/>
        <v>490</v>
      </c>
      <c r="E29">
        <v>7</v>
      </c>
      <c r="F29">
        <v>130</v>
      </c>
      <c r="G29">
        <f t="shared" si="3"/>
        <v>910</v>
      </c>
    </row>
    <row r="30" spans="1:7" x14ac:dyDescent="0.25">
      <c r="A30">
        <v>8</v>
      </c>
      <c r="B30">
        <v>70</v>
      </c>
      <c r="C30">
        <f t="shared" si="2"/>
        <v>560</v>
      </c>
      <c r="E30">
        <v>8</v>
      </c>
      <c r="F30">
        <v>130</v>
      </c>
      <c r="G30">
        <f t="shared" si="3"/>
        <v>1040</v>
      </c>
    </row>
    <row r="31" spans="1:7" x14ac:dyDescent="0.25">
      <c r="A31">
        <v>9</v>
      </c>
      <c r="B31">
        <v>70</v>
      </c>
      <c r="C31">
        <f t="shared" si="2"/>
        <v>630</v>
      </c>
      <c r="E31">
        <v>9</v>
      </c>
      <c r="F31">
        <v>130</v>
      </c>
      <c r="G31">
        <f t="shared" si="3"/>
        <v>1170</v>
      </c>
    </row>
    <row r="32" spans="1:7" x14ac:dyDescent="0.25">
      <c r="A32">
        <v>10</v>
      </c>
      <c r="B32">
        <f>B31+1000</f>
        <v>1070</v>
      </c>
      <c r="C32">
        <f t="shared" si="2"/>
        <v>10700</v>
      </c>
      <c r="E32">
        <v>10</v>
      </c>
      <c r="F32">
        <f>F31+1000</f>
        <v>1130</v>
      </c>
      <c r="G32">
        <f t="shared" si="3"/>
        <v>11300</v>
      </c>
    </row>
    <row r="34" spans="1:7" x14ac:dyDescent="0.25">
      <c r="A34" t="s">
        <v>12</v>
      </c>
      <c r="B34" s="4">
        <f>NPV(B2,B23:B32)</f>
        <v>999.99999999999955</v>
      </c>
      <c r="F34" s="4">
        <f>NPV(B2,F23:F32)</f>
        <v>1421.4148924559556</v>
      </c>
    </row>
    <row r="35" spans="1:7" x14ac:dyDescent="0.25">
      <c r="B35" s="4">
        <f>-PV(B2,A32,B23,1000,0)</f>
        <v>1000</v>
      </c>
      <c r="F35" s="4">
        <f>-PV(B2,E32,F23,1000,0)</f>
        <v>1421.4148924559563</v>
      </c>
      <c r="G35" s="4"/>
    </row>
    <row r="36" spans="1:7" x14ac:dyDescent="0.25">
      <c r="A36" t="s">
        <v>13</v>
      </c>
      <c r="B36" s="1">
        <f>NPV(B2,C23:C32)/B34</f>
        <v>7.5152322487978838</v>
      </c>
      <c r="F36" s="1">
        <f>NPV(B2,G23:G32)/F34</f>
        <v>6.7535385303085134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875E-8A35-44C4-B0E9-FFCC72B7B118}">
  <sheetPr codeName="Sheet3"/>
  <dimension ref="A1:F23"/>
  <sheetViews>
    <sheetView workbookViewId="0">
      <selection activeCell="B7" sqref="B7"/>
    </sheetView>
  </sheetViews>
  <sheetFormatPr defaultRowHeight="13.2" x14ac:dyDescent="0.25"/>
  <cols>
    <col min="1" max="1" width="22.109375" bestFit="1" customWidth="1"/>
    <col min="2" max="2" width="25.21875" bestFit="1" customWidth="1"/>
    <col min="3" max="3" width="9.33203125" bestFit="1" customWidth="1"/>
  </cols>
  <sheetData>
    <row r="1" spans="1:6" x14ac:dyDescent="0.25">
      <c r="A1" s="14"/>
      <c r="B1" s="14"/>
      <c r="C1" s="14"/>
      <c r="D1" s="14"/>
      <c r="E1" s="14"/>
      <c r="F1" s="14"/>
    </row>
    <row r="2" spans="1:6" x14ac:dyDescent="0.25">
      <c r="A2" s="15" t="s">
        <v>6</v>
      </c>
      <c r="B2" s="16">
        <v>7.0000000000000007E-2</v>
      </c>
      <c r="C2" s="14"/>
      <c r="D2" s="14"/>
      <c r="E2" s="14"/>
      <c r="F2" s="14"/>
    </row>
    <row r="3" spans="1:6" x14ac:dyDescent="0.25">
      <c r="A3" s="14"/>
      <c r="B3" s="17" t="s">
        <v>7</v>
      </c>
      <c r="C3" s="17" t="s">
        <v>8</v>
      </c>
      <c r="D3" s="14"/>
      <c r="E3" s="14"/>
      <c r="F3" s="14"/>
    </row>
    <row r="4" spans="1:6" x14ac:dyDescent="0.25">
      <c r="A4" s="15" t="s">
        <v>9</v>
      </c>
      <c r="B4" s="16">
        <v>7.0000000000000007E-2</v>
      </c>
      <c r="C4" s="16">
        <v>0.13</v>
      </c>
      <c r="D4" s="14"/>
      <c r="E4" s="14"/>
      <c r="F4" s="14"/>
    </row>
    <row r="5" spans="1:6" x14ac:dyDescent="0.25">
      <c r="A5" s="15" t="s">
        <v>10</v>
      </c>
      <c r="B5" s="18">
        <v>1000</v>
      </c>
      <c r="C5" s="18">
        <v>1000</v>
      </c>
      <c r="D5" s="14"/>
      <c r="E5" s="14"/>
      <c r="F5" s="14"/>
    </row>
    <row r="6" spans="1:6" x14ac:dyDescent="0.25">
      <c r="A6" s="15" t="s">
        <v>11</v>
      </c>
      <c r="B6" s="18">
        <v>10</v>
      </c>
      <c r="C6" s="18">
        <v>10</v>
      </c>
      <c r="D6" s="14"/>
      <c r="E6" s="14"/>
      <c r="F6" s="14"/>
    </row>
    <row r="7" spans="1:6" x14ac:dyDescent="0.25">
      <c r="A7" s="15" t="s">
        <v>12</v>
      </c>
      <c r="B7" s="18">
        <f>-PV(B2,B6,B4*B5,B5,0)</f>
        <v>1000</v>
      </c>
      <c r="C7" s="18">
        <f>-PV(B2,C6,C4*C5,C5)</f>
        <v>1421.4148924559563</v>
      </c>
      <c r="D7" s="14"/>
      <c r="E7" s="14"/>
      <c r="F7" s="14"/>
    </row>
    <row r="8" spans="1:6" x14ac:dyDescent="0.25">
      <c r="A8" s="15" t="s">
        <v>46</v>
      </c>
      <c r="B8" s="19">
        <f>DURATION(DATE(2020,12,31),DATE(2030,12,31),B4,$B$2,1)</f>
        <v>7.5152322487978838</v>
      </c>
      <c r="C8" s="19">
        <f>DURATION(DATE(2020,12,31),DATE(2030,12,31),C4,$B$2,1)</f>
        <v>6.7535385303085134</v>
      </c>
      <c r="D8" s="14"/>
      <c r="E8" s="14"/>
      <c r="F8" s="14"/>
    </row>
    <row r="9" spans="1:6" x14ac:dyDescent="0.25">
      <c r="A9" s="15" t="s">
        <v>14</v>
      </c>
      <c r="B9" s="19">
        <f>B8/(1+$B$2)</f>
        <v>7.023581540932601</v>
      </c>
      <c r="C9" s="19">
        <f>C8/(1+$B$2)</f>
        <v>6.3117182526247788</v>
      </c>
      <c r="D9" s="14"/>
      <c r="E9" s="14"/>
      <c r="F9" s="14"/>
    </row>
    <row r="10" spans="1:6" x14ac:dyDescent="0.25">
      <c r="A10" s="15" t="s">
        <v>15</v>
      </c>
      <c r="B10" s="19">
        <f>MDURATION(DATE(2020,12,31),DATE(2030,12,31),B4,$B$2,1)</f>
        <v>7.023581540932601</v>
      </c>
      <c r="C10" s="19">
        <f>MDURATION(DATE(2020,12,31),DATE(2030,12,31),C4,$B$2,1)</f>
        <v>6.3117182526247788</v>
      </c>
      <c r="D10" s="14"/>
      <c r="E10" s="14"/>
      <c r="F10" s="14"/>
    </row>
    <row r="11" spans="1:6" x14ac:dyDescent="0.25">
      <c r="A11" s="14"/>
      <c r="B11" s="14"/>
      <c r="C11" s="14"/>
      <c r="D11" s="14"/>
      <c r="E11" s="14"/>
      <c r="F11" s="14"/>
    </row>
    <row r="12" spans="1:6" x14ac:dyDescent="0.25">
      <c r="A12" s="14" t="s">
        <v>38</v>
      </c>
      <c r="B12" s="20">
        <v>0.08</v>
      </c>
      <c r="C12" s="14"/>
      <c r="D12" s="14"/>
      <c r="E12" s="14"/>
      <c r="F12" s="14"/>
    </row>
    <row r="13" spans="1:6" x14ac:dyDescent="0.25">
      <c r="A13" s="14"/>
      <c r="B13" s="14"/>
      <c r="C13" s="14"/>
      <c r="D13" s="14"/>
      <c r="E13" s="14"/>
      <c r="F13" s="14"/>
    </row>
    <row r="14" spans="1:6" x14ac:dyDescent="0.25">
      <c r="A14" s="14" t="s">
        <v>39</v>
      </c>
      <c r="B14" s="21">
        <f>-PV($B$12,B6,B4*$B$5,$B$5)</f>
        <v>932.89918601058559</v>
      </c>
      <c r="C14" s="21">
        <f>-PV($B$12,C6,C4*$B$5,$B$5)</f>
        <v>1335.5040699470721</v>
      </c>
      <c r="D14" s="14" t="e" cm="1">
        <f t="array" aca="1" ref="D14" ca="1">getformula(C14)</f>
        <v>#NAME?</v>
      </c>
      <c r="E14" s="14"/>
      <c r="F14" s="14"/>
    </row>
    <row r="15" spans="1:6" ht="13.8" x14ac:dyDescent="0.25">
      <c r="A15" s="14" t="s">
        <v>47</v>
      </c>
      <c r="B15" s="22">
        <f>(B12-B2)/(1+B2)</f>
        <v>9.3457943925233586E-3</v>
      </c>
      <c r="C15" s="22"/>
      <c r="D15" s="14"/>
      <c r="E15" s="14"/>
      <c r="F15" s="14"/>
    </row>
    <row r="16" spans="1:6" x14ac:dyDescent="0.25">
      <c r="A16" s="11" t="s">
        <v>40</v>
      </c>
      <c r="B16" s="14"/>
      <c r="C16" s="14"/>
      <c r="D16" s="14"/>
      <c r="E16" s="14"/>
      <c r="F16" s="14"/>
    </row>
    <row r="17" spans="1:6" x14ac:dyDescent="0.25">
      <c r="A17" s="23" t="s">
        <v>41</v>
      </c>
      <c r="B17" s="21">
        <f>B14-B7</f>
        <v>-67.100813989414405</v>
      </c>
      <c r="C17" s="21">
        <f>C14-C7</f>
        <v>-85.910822508884166</v>
      </c>
      <c r="D17" s="14" t="e" cm="1">
        <f t="array" aca="1" ref="D17" ca="1">getformula(C17)</f>
        <v>#NAME?</v>
      </c>
      <c r="E17" s="14"/>
      <c r="F17" s="14"/>
    </row>
    <row r="18" spans="1:6" x14ac:dyDescent="0.25">
      <c r="A18" s="12" t="s">
        <v>42</v>
      </c>
      <c r="B18" s="14"/>
      <c r="C18" s="14"/>
      <c r="D18" s="14"/>
      <c r="E18" s="14"/>
      <c r="F18" s="14"/>
    </row>
    <row r="19" spans="1:6" x14ac:dyDescent="0.25">
      <c r="A19" s="23" t="s">
        <v>44</v>
      </c>
      <c r="B19" s="18">
        <f>-B8*B7*$B$15</f>
        <v>-70.235815409325966</v>
      </c>
      <c r="C19" s="18">
        <f>-C8*C7*$B$15</f>
        <v>-89.715703212669396</v>
      </c>
      <c r="D19" s="14" t="e" cm="1">
        <f t="array" aca="1" ref="D19" ca="1">getformula(C19)</f>
        <v>#NAME?</v>
      </c>
      <c r="E19" s="14"/>
      <c r="F19" s="14"/>
    </row>
    <row r="20" spans="1:6" x14ac:dyDescent="0.25">
      <c r="A20" s="23" t="s">
        <v>43</v>
      </c>
      <c r="B20" s="18">
        <f>-B5*($B$12-$B$2)*B9</f>
        <v>-70.235815409325966</v>
      </c>
      <c r="C20" s="18">
        <f>-C5*($B$12-$B$2)*C9</f>
        <v>-63.117182526247753</v>
      </c>
      <c r="D20" s="14" t="e" cm="1">
        <f t="array" aca="1" ref="D20" ca="1">getformula(B20)</f>
        <v>#NAME?</v>
      </c>
      <c r="E20" s="14"/>
      <c r="F20" s="14"/>
    </row>
    <row r="21" spans="1:6" x14ac:dyDescent="0.25">
      <c r="A21" s="14"/>
      <c r="B21" s="14"/>
      <c r="C21" s="14"/>
      <c r="D21" s="14"/>
      <c r="E21" s="14"/>
      <c r="F21" s="14"/>
    </row>
    <row r="22" spans="1:6" x14ac:dyDescent="0.25">
      <c r="A22" s="14"/>
      <c r="B22" s="14"/>
      <c r="C22" s="14"/>
      <c r="D22" s="14"/>
      <c r="E22" s="14"/>
      <c r="F22" s="14"/>
    </row>
    <row r="23" spans="1:6" x14ac:dyDescent="0.25">
      <c r="A23" s="14"/>
      <c r="B23" s="14"/>
      <c r="C23" s="14"/>
      <c r="D23" s="14"/>
      <c r="E23" s="14"/>
      <c r="F23" s="1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D50E9-FA13-45F2-8E0F-FA1ADAAF11F5}">
  <sheetPr codeName="Sheet4"/>
  <dimension ref="A1:F13"/>
  <sheetViews>
    <sheetView zoomScale="99" workbookViewId="0">
      <selection activeCell="C7" sqref="C7"/>
    </sheetView>
  </sheetViews>
  <sheetFormatPr defaultRowHeight="13.2" x14ac:dyDescent="0.25"/>
  <cols>
    <col min="1" max="1" width="33.77734375" bestFit="1" customWidth="1"/>
    <col min="2" max="2" width="40.88671875" customWidth="1"/>
    <col min="3" max="3" width="9.33203125" bestFit="1" customWidth="1"/>
  </cols>
  <sheetData>
    <row r="1" spans="1:6" x14ac:dyDescent="0.25">
      <c r="A1" s="7" t="s">
        <v>16</v>
      </c>
      <c r="B1" s="6"/>
      <c r="C1" s="6"/>
      <c r="D1" s="6"/>
    </row>
    <row r="2" spans="1:6" x14ac:dyDescent="0.25">
      <c r="B2" s="6" t="s">
        <v>7</v>
      </c>
      <c r="C2" s="6" t="s">
        <v>8</v>
      </c>
    </row>
    <row r="3" spans="1:6" x14ac:dyDescent="0.25">
      <c r="A3" s="6" t="s">
        <v>17</v>
      </c>
      <c r="B3">
        <v>10</v>
      </c>
      <c r="C3">
        <v>10</v>
      </c>
    </row>
    <row r="4" spans="1:6" x14ac:dyDescent="0.25">
      <c r="A4" s="6" t="s">
        <v>18</v>
      </c>
      <c r="B4" s="2">
        <v>7.0000000000000007E-2</v>
      </c>
      <c r="C4" s="2">
        <v>7.0000000000000007E-2</v>
      </c>
    </row>
    <row r="5" spans="1:6" x14ac:dyDescent="0.25">
      <c r="A5" s="6" t="s">
        <v>19</v>
      </c>
      <c r="B5" s="2">
        <v>7.0000000000000007E-2</v>
      </c>
      <c r="C5" s="2">
        <v>0.13</v>
      </c>
    </row>
    <row r="6" spans="1:6" x14ac:dyDescent="0.25">
      <c r="A6" s="6" t="s">
        <v>10</v>
      </c>
      <c r="B6">
        <v>1000</v>
      </c>
      <c r="C6">
        <v>1000</v>
      </c>
    </row>
    <row r="7" spans="1:6" x14ac:dyDescent="0.25">
      <c r="A7" s="6" t="s">
        <v>5</v>
      </c>
      <c r="B7">
        <v>1000</v>
      </c>
      <c r="C7" s="4">
        <f>-PV(C4,C3,C5*C6,C6)</f>
        <v>1421.4148924559563</v>
      </c>
      <c r="D7" t="str">
        <f ca="1">_xlfn.FORMULATEXT(C7)</f>
        <v>=-PV(C4,C3,C5*C6,C6)</v>
      </c>
    </row>
    <row r="8" spans="1:6" x14ac:dyDescent="0.25">
      <c r="A8" s="6" t="s">
        <v>20</v>
      </c>
      <c r="B8" s="2">
        <v>7.0000000000000007E-2</v>
      </c>
      <c r="C8" s="5">
        <f>C5*C6/C7</f>
        <v>9.1458166570481572E-2</v>
      </c>
      <c r="D8" t="str">
        <f ca="1">_xlfn.FORMULATEXT(C8)</f>
        <v>=C5*C6/C7</v>
      </c>
    </row>
    <row r="9" spans="1:6" x14ac:dyDescent="0.25">
      <c r="A9" s="6" t="s">
        <v>21</v>
      </c>
      <c r="B9" s="8">
        <f>-PV(B4,B3,1)</f>
        <v>7.0235815409326028</v>
      </c>
      <c r="C9" s="8">
        <f>-PV(C4,C3,1)</f>
        <v>7.0235815409326028</v>
      </c>
      <c r="D9" t="str">
        <f ca="1">_xlfn.FORMULATEXT(C9)</f>
        <v>=-PV(C4,C3,1)</v>
      </c>
      <c r="F9" s="4"/>
    </row>
    <row r="11" spans="1:6" x14ac:dyDescent="0.25">
      <c r="A11" s="6" t="s">
        <v>22</v>
      </c>
    </row>
    <row r="12" spans="1:6" x14ac:dyDescent="0.25">
      <c r="A12" s="6" t="s">
        <v>23</v>
      </c>
      <c r="B12" s="9">
        <f>B3*(1-B8/B4)+((B8/B4)*B9)*(1+B4)</f>
        <v>7.5152322487978855</v>
      </c>
      <c r="C12" s="9">
        <f>C3*(1-C8/C4)+((C8/C4)*C9)*(1+C4)</f>
        <v>6.753538530308516</v>
      </c>
      <c r="D12" t="str">
        <f ca="1">_xlfn.FORMULATEXT(C12)</f>
        <v>=C3*(1-C8/C4)+((C8/C4)*C9)*(1+C4)</v>
      </c>
    </row>
    <row r="13" spans="1:6" x14ac:dyDescent="0.25">
      <c r="A13" s="6" t="s">
        <v>24</v>
      </c>
      <c r="B13" s="9">
        <f>DURATION(DATE(2020,12,31),DATE(2030,12,31),B5,B4,1,1)</f>
        <v>7.5152322487978838</v>
      </c>
      <c r="C13" s="9">
        <f>DURATION(DATE(2020,12,31),DATE(2030,12,31),C5,C4,1,1)</f>
        <v>6.7535385303085134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9F8B1-9F2F-40CD-B8E8-F3D22FB1748B}">
  <sheetPr codeName="Sheet5"/>
  <dimension ref="B2:Z65"/>
  <sheetViews>
    <sheetView topLeftCell="A24" zoomScale="90" workbookViewId="0">
      <selection activeCell="N11" sqref="N11"/>
    </sheetView>
  </sheetViews>
  <sheetFormatPr defaultRowHeight="13.2" x14ac:dyDescent="0.25"/>
  <cols>
    <col min="2" max="2" width="15.21875" bestFit="1" customWidth="1"/>
    <col min="3" max="3" width="25.21875" bestFit="1" customWidth="1"/>
    <col min="25" max="25" width="15.44140625" bestFit="1" customWidth="1"/>
    <col min="26" max="26" width="12.44140625" bestFit="1" customWidth="1"/>
  </cols>
  <sheetData>
    <row r="2" spans="2:26" x14ac:dyDescent="0.25">
      <c r="B2" s="15" t="s">
        <v>25</v>
      </c>
      <c r="C2" s="37">
        <f>DATE(2020,12,31)</f>
        <v>44196</v>
      </c>
      <c r="Y2" s="15" t="s">
        <v>25</v>
      </c>
      <c r="Z2" s="37">
        <f>DATE(2020,12,31)</f>
        <v>44196</v>
      </c>
    </row>
    <row r="3" spans="2:26" x14ac:dyDescent="0.25">
      <c r="B3" s="15" t="s">
        <v>26</v>
      </c>
      <c r="C3" s="14">
        <v>21</v>
      </c>
      <c r="Y3" s="15" t="s">
        <v>26</v>
      </c>
      <c r="Z3" s="14">
        <v>21</v>
      </c>
    </row>
    <row r="4" spans="2:26" x14ac:dyDescent="0.25">
      <c r="B4" s="15" t="s">
        <v>27</v>
      </c>
      <c r="C4" s="37">
        <f>DATE(2020+C3,12,31)</f>
        <v>51866</v>
      </c>
      <c r="Y4" s="15" t="s">
        <v>27</v>
      </c>
      <c r="Z4" s="37">
        <f>DATE(2020+Z3,12,31)</f>
        <v>51866</v>
      </c>
    </row>
    <row r="5" spans="2:26" x14ac:dyDescent="0.25">
      <c r="B5" s="15" t="s">
        <v>3</v>
      </c>
      <c r="C5" s="16">
        <v>0.15</v>
      </c>
      <c r="Y5" s="15" t="s">
        <v>3</v>
      </c>
      <c r="Z5" s="16">
        <v>0.15</v>
      </c>
    </row>
    <row r="6" spans="2:26" x14ac:dyDescent="0.25">
      <c r="B6" s="15" t="s">
        <v>28</v>
      </c>
      <c r="C6" s="16">
        <v>0.04</v>
      </c>
      <c r="Y6" s="15" t="s">
        <v>28</v>
      </c>
      <c r="Z6" s="16">
        <v>0.04</v>
      </c>
    </row>
    <row r="7" spans="2:26" x14ac:dyDescent="0.25">
      <c r="B7" s="15" t="s">
        <v>10</v>
      </c>
      <c r="C7" s="14">
        <v>1000</v>
      </c>
      <c r="Y7" s="15" t="s">
        <v>10</v>
      </c>
      <c r="Z7" s="14">
        <v>1000</v>
      </c>
    </row>
    <row r="8" spans="2:26" x14ac:dyDescent="0.25">
      <c r="B8" s="15" t="s">
        <v>13</v>
      </c>
      <c r="C8" s="14">
        <f>DURATION(C2,C4,C6,C5,1)</f>
        <v>9.0110319541472155</v>
      </c>
      <c r="Y8" s="15" t="s">
        <v>13</v>
      </c>
      <c r="Z8" s="14" cm="1">
        <f t="array" ref="Z8">DDuration(Z3,Z6,Z5,1)</f>
        <v>9.011031954147219</v>
      </c>
    </row>
    <row r="9" spans="2:26" x14ac:dyDescent="0.25">
      <c r="B9" s="14"/>
      <c r="C9" s="14"/>
    </row>
    <row r="10" spans="2:26" x14ac:dyDescent="0.25">
      <c r="B10" s="15" t="s">
        <v>29</v>
      </c>
      <c r="C10" s="15" t="s">
        <v>54</v>
      </c>
    </row>
    <row r="11" spans="2:26" x14ac:dyDescent="0.25">
      <c r="B11" s="15" t="s">
        <v>53</v>
      </c>
      <c r="C11" s="15" t="s">
        <v>13</v>
      </c>
      <c r="Y11" s="15" t="s">
        <v>96</v>
      </c>
    </row>
    <row r="12" spans="2:26" x14ac:dyDescent="0.25">
      <c r="B12" s="14"/>
      <c r="C12" s="14">
        <f>C8</f>
        <v>9.0110319541472155</v>
      </c>
    </row>
    <row r="13" spans="2:26" x14ac:dyDescent="0.25">
      <c r="B13" s="16">
        <v>0</v>
      </c>
      <c r="C13" s="38">
        <f t="dataTable" ref="C13:C38" dt2D="0" dtr="0" r1="C6"/>
        <v>21</v>
      </c>
      <c r="Y13" t="s">
        <v>53</v>
      </c>
      <c r="Z13" t="s">
        <v>13</v>
      </c>
    </row>
    <row r="14" spans="2:26" x14ac:dyDescent="0.25">
      <c r="B14" s="16">
        <v>0.01</v>
      </c>
      <c r="C14" s="14">
        <v>13.120405887067847</v>
      </c>
      <c r="Z14">
        <f>Z8</f>
        <v>9.011031954147219</v>
      </c>
    </row>
    <row r="15" spans="2:26" x14ac:dyDescent="0.25">
      <c r="B15" s="16">
        <v>0.02</v>
      </c>
      <c r="C15" s="14">
        <v>10.786542812879926</v>
      </c>
      <c r="Y15" s="2">
        <v>0</v>
      </c>
      <c r="Z15">
        <f t="dataTable" ref="Z15:Z45" dt2D="0" dtr="0" r1="Z6"/>
        <v>21.000000000000004</v>
      </c>
    </row>
    <row r="16" spans="2:26" x14ac:dyDescent="0.25">
      <c r="B16" s="16">
        <v>0.03</v>
      </c>
      <c r="C16" s="14">
        <v>9.6677021220158164</v>
      </c>
      <c r="Y16" s="2">
        <v>0.01</v>
      </c>
      <c r="Z16">
        <v>13.12040588706785</v>
      </c>
    </row>
    <row r="17" spans="2:26" x14ac:dyDescent="0.25">
      <c r="B17" s="16">
        <v>0.04</v>
      </c>
      <c r="C17" s="14">
        <v>9.0110319541472155</v>
      </c>
      <c r="Y17" s="2">
        <v>0.02</v>
      </c>
      <c r="Z17">
        <v>10.786542812879928</v>
      </c>
    </row>
    <row r="18" spans="2:26" x14ac:dyDescent="0.25">
      <c r="B18" s="16">
        <v>0.05</v>
      </c>
      <c r="C18" s="14">
        <v>8.5791841881210171</v>
      </c>
      <c r="Y18" s="2">
        <v>0.03</v>
      </c>
      <c r="Z18">
        <v>9.6677021220158128</v>
      </c>
    </row>
    <row r="19" spans="2:26" x14ac:dyDescent="0.25">
      <c r="B19" s="16">
        <v>0.06</v>
      </c>
      <c r="C19" s="14">
        <v>8.27357670814032</v>
      </c>
      <c r="Y19" s="2">
        <v>0.04</v>
      </c>
      <c r="Z19">
        <v>9.011031954147219</v>
      </c>
    </row>
    <row r="20" spans="2:26" x14ac:dyDescent="0.25">
      <c r="B20" s="16">
        <v>7.0000000000000007E-2</v>
      </c>
      <c r="C20" s="14">
        <v>8.0459136261399511</v>
      </c>
      <c r="Y20" s="2">
        <v>0.05</v>
      </c>
      <c r="Z20">
        <v>8.5791841881210225</v>
      </c>
    </row>
    <row r="21" spans="2:26" x14ac:dyDescent="0.25">
      <c r="B21" s="16">
        <v>0.08</v>
      </c>
      <c r="C21" s="39">
        <v>7.8697482468534075</v>
      </c>
      <c r="Y21" s="2">
        <v>0.06</v>
      </c>
      <c r="Z21">
        <v>8.2735767081403164</v>
      </c>
    </row>
    <row r="22" spans="2:26" x14ac:dyDescent="0.25">
      <c r="B22" s="16">
        <v>0.09</v>
      </c>
      <c r="C22" s="14">
        <v>7.7293827299126399</v>
      </c>
      <c r="Y22" s="2">
        <v>7.0000000000000007E-2</v>
      </c>
      <c r="Z22">
        <v>8.0459136261399529</v>
      </c>
    </row>
    <row r="23" spans="2:26" x14ac:dyDescent="0.25">
      <c r="B23" s="16">
        <v>0.1</v>
      </c>
      <c r="C23" s="14">
        <v>7.6149108988278122</v>
      </c>
      <c r="Y23" s="2">
        <v>0.08</v>
      </c>
      <c r="Z23">
        <v>7.8697482468534119</v>
      </c>
    </row>
    <row r="24" spans="2:26" x14ac:dyDescent="0.25">
      <c r="B24" s="16">
        <v>0.11</v>
      </c>
      <c r="C24" s="14">
        <v>7.5197727837982562</v>
      </c>
      <c r="Y24" s="2">
        <v>0.09</v>
      </c>
      <c r="Z24">
        <v>7.7293827299126363</v>
      </c>
    </row>
    <row r="25" spans="2:26" x14ac:dyDescent="0.25">
      <c r="B25" s="16">
        <v>0.12</v>
      </c>
      <c r="C25" s="14">
        <v>7.4394517521064181</v>
      </c>
      <c r="Y25" s="2">
        <v>0.1</v>
      </c>
      <c r="Z25">
        <v>7.6149108988278158</v>
      </c>
    </row>
    <row r="26" spans="2:26" x14ac:dyDescent="0.25">
      <c r="B26" s="16">
        <v>0.13</v>
      </c>
      <c r="C26" s="40">
        <v>7.3707363978561142</v>
      </c>
      <c r="Y26" s="2">
        <v>0.11</v>
      </c>
      <c r="Z26">
        <v>7.5197727837982562</v>
      </c>
    </row>
    <row r="27" spans="2:26" x14ac:dyDescent="0.25">
      <c r="B27" s="16">
        <v>0.14000000000000001</v>
      </c>
      <c r="C27" s="14">
        <v>7.3112808252771311</v>
      </c>
      <c r="Y27" s="2">
        <v>0.12</v>
      </c>
      <c r="Z27">
        <v>7.4394517521064145</v>
      </c>
    </row>
    <row r="28" spans="2:26" x14ac:dyDescent="0.25">
      <c r="B28" s="16">
        <v>0.15</v>
      </c>
      <c r="C28" s="14">
        <v>7.2593314737296479</v>
      </c>
      <c r="Y28" s="2">
        <v>0.13</v>
      </c>
      <c r="Z28">
        <v>7.3707363978561169</v>
      </c>
    </row>
    <row r="29" spans="2:26" x14ac:dyDescent="0.25">
      <c r="B29" s="16">
        <v>0.16</v>
      </c>
      <c r="C29" s="14">
        <v>7.2135512637631409</v>
      </c>
      <c r="Y29" s="2">
        <v>0.14000000000000001</v>
      </c>
      <c r="Z29">
        <v>7.311280825277132</v>
      </c>
    </row>
    <row r="30" spans="2:26" x14ac:dyDescent="0.25">
      <c r="B30" s="16">
        <v>0.17</v>
      </c>
      <c r="C30" s="14">
        <v>7.1729028813112343</v>
      </c>
      <c r="Y30" s="2">
        <v>0.15</v>
      </c>
      <c r="Z30">
        <v>7.2593314737296488</v>
      </c>
    </row>
    <row r="31" spans="2:26" x14ac:dyDescent="0.25">
      <c r="B31" s="16">
        <v>0.18</v>
      </c>
      <c r="C31" s="14">
        <v>7.1365692292125242</v>
      </c>
      <c r="Y31" s="2">
        <v>0.16</v>
      </c>
      <c r="Z31">
        <v>7.2135512637631436</v>
      </c>
    </row>
    <row r="32" spans="2:26" x14ac:dyDescent="0.25">
      <c r="B32" s="16">
        <v>0.19</v>
      </c>
      <c r="C32" s="14">
        <v>7.1038979336953032</v>
      </c>
      <c r="Y32" s="2">
        <v>0.17</v>
      </c>
      <c r="Z32">
        <v>7.1729028813112379</v>
      </c>
    </row>
    <row r="33" spans="2:26" x14ac:dyDescent="0.25">
      <c r="B33" s="16">
        <v>0.2</v>
      </c>
      <c r="C33" s="14">
        <v>7.0743618265948047</v>
      </c>
      <c r="Y33" s="2">
        <v>0.18</v>
      </c>
      <c r="Z33">
        <v>7.1365692292125225</v>
      </c>
    </row>
    <row r="34" spans="2:26" x14ac:dyDescent="0.25">
      <c r="B34" s="16">
        <v>0.21</v>
      </c>
      <c r="C34" s="14">
        <v>7.0475302832695625</v>
      </c>
      <c r="Y34" s="2">
        <v>0.19</v>
      </c>
      <c r="Z34">
        <v>7.1038979336953023</v>
      </c>
    </row>
    <row r="35" spans="2:26" x14ac:dyDescent="0.25">
      <c r="B35" s="16">
        <v>0.22</v>
      </c>
      <c r="C35" s="14">
        <v>7.0230480894082694</v>
      </c>
      <c r="Y35" s="2">
        <v>0.2</v>
      </c>
      <c r="Z35">
        <v>7.0743618265948101</v>
      </c>
    </row>
    <row r="36" spans="2:26" x14ac:dyDescent="0.25">
      <c r="B36" s="16">
        <v>0.23</v>
      </c>
      <c r="C36" s="14">
        <v>7.0006196262187421</v>
      </c>
      <c r="Y36" s="2">
        <v>0.21</v>
      </c>
      <c r="Z36">
        <v>7.0475302832695625</v>
      </c>
    </row>
    <row r="37" spans="2:26" x14ac:dyDescent="0.25">
      <c r="B37" s="16">
        <v>0.24</v>
      </c>
      <c r="C37" s="14">
        <v>6.9799968753613308</v>
      </c>
      <c r="Y37" s="2">
        <v>0.22</v>
      </c>
      <c r="Z37">
        <v>7.0230480894082685</v>
      </c>
    </row>
    <row r="38" spans="2:26" x14ac:dyDescent="0.25">
      <c r="B38" s="16">
        <v>0.25</v>
      </c>
      <c r="C38" s="14">
        <v>6.9609702089335119</v>
      </c>
      <c r="Y38" s="2">
        <v>0.23</v>
      </c>
      <c r="Z38">
        <v>7.000619626218743</v>
      </c>
    </row>
    <row r="39" spans="2:26" x14ac:dyDescent="0.25">
      <c r="B39" s="16"/>
      <c r="C39" s="14"/>
      <c r="Y39" s="2">
        <v>0.24</v>
      </c>
      <c r="Z39">
        <v>6.9799968753613282</v>
      </c>
    </row>
    <row r="40" spans="2:26" x14ac:dyDescent="0.25">
      <c r="B40" s="16"/>
      <c r="C40" s="14"/>
      <c r="Y40" s="2">
        <v>0.25</v>
      </c>
      <c r="Z40">
        <v>6.9609702089335084</v>
      </c>
    </row>
    <row r="41" spans="2:26" x14ac:dyDescent="0.25">
      <c r="B41" s="2"/>
      <c r="Y41" s="2">
        <v>0.26</v>
      </c>
      <c r="Z41">
        <v>6.9433612381965206</v>
      </c>
    </row>
    <row r="42" spans="2:26" x14ac:dyDescent="0.25">
      <c r="B42" s="2"/>
      <c r="Y42" s="2">
        <v>0.27</v>
      </c>
      <c r="Z42">
        <v>6.9270172034317037</v>
      </c>
    </row>
    <row r="43" spans="2:26" x14ac:dyDescent="0.25">
      <c r="B43" s="2"/>
      <c r="Y43" s="2">
        <v>0.28000000000000003</v>
      </c>
      <c r="Z43">
        <v>6.9118065308878478</v>
      </c>
    </row>
    <row r="44" spans="2:26" x14ac:dyDescent="0.25">
      <c r="B44" s="2"/>
      <c r="Y44" s="2">
        <v>0.28999999999999998</v>
      </c>
      <c r="Z44">
        <v>6.8976152830533648</v>
      </c>
    </row>
    <row r="45" spans="2:26" x14ac:dyDescent="0.25">
      <c r="B45" s="2"/>
      <c r="Y45" s="2">
        <v>0.3</v>
      </c>
      <c r="Z45">
        <v>6.8843442994994781</v>
      </c>
    </row>
    <row r="46" spans="2:26" x14ac:dyDescent="0.25">
      <c r="B46" s="2"/>
    </row>
    <row r="47" spans="2:26" x14ac:dyDescent="0.25">
      <c r="B47" s="2"/>
    </row>
    <row r="48" spans="2:26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C9B8-897A-4029-8836-C6E2BB6D6989}">
  <sheetPr codeName="Sheet6"/>
  <dimension ref="A2:C42"/>
  <sheetViews>
    <sheetView workbookViewId="0">
      <selection activeCell="O11" sqref="O11:P43"/>
    </sheetView>
  </sheetViews>
  <sheetFormatPr defaultRowHeight="13.2" x14ac:dyDescent="0.25"/>
  <cols>
    <col min="2" max="2" width="15.21875" bestFit="1" customWidth="1"/>
    <col min="3" max="3" width="24.6640625" bestFit="1" customWidth="1"/>
  </cols>
  <sheetData>
    <row r="2" spans="1:3" x14ac:dyDescent="0.25">
      <c r="B2" s="6" t="s">
        <v>25</v>
      </c>
      <c r="C2" s="10">
        <f>DATE(2020,12,31)</f>
        <v>44196</v>
      </c>
    </row>
    <row r="3" spans="1:3" x14ac:dyDescent="0.25">
      <c r="B3" s="6" t="s">
        <v>26</v>
      </c>
      <c r="C3">
        <v>21</v>
      </c>
    </row>
    <row r="4" spans="1:3" x14ac:dyDescent="0.25">
      <c r="B4" s="6" t="s">
        <v>27</v>
      </c>
      <c r="C4" s="10">
        <f>DATE(2020+C3,12,31)</f>
        <v>51866</v>
      </c>
    </row>
    <row r="5" spans="1:3" x14ac:dyDescent="0.25">
      <c r="B5" s="6" t="s">
        <v>3</v>
      </c>
      <c r="C5" s="2">
        <v>0.15</v>
      </c>
    </row>
    <row r="6" spans="1:3" x14ac:dyDescent="0.25">
      <c r="B6" s="6" t="s">
        <v>28</v>
      </c>
      <c r="C6" s="2">
        <v>0.04</v>
      </c>
    </row>
    <row r="7" spans="1:3" x14ac:dyDescent="0.25">
      <c r="B7" s="6" t="s">
        <v>10</v>
      </c>
      <c r="C7">
        <v>1000</v>
      </c>
    </row>
    <row r="8" spans="1:3" x14ac:dyDescent="0.25">
      <c r="B8" s="6" t="s">
        <v>13</v>
      </c>
      <c r="C8">
        <f>DURATION(C2,C4,C6,C5,1)</f>
        <v>9.0110319541472155</v>
      </c>
    </row>
    <row r="10" spans="1:3" x14ac:dyDescent="0.25">
      <c r="B10" s="24" t="s">
        <v>55</v>
      </c>
      <c r="C10" s="14" t="s">
        <v>30</v>
      </c>
    </row>
    <row r="11" spans="1:3" s="6" customFormat="1" x14ac:dyDescent="0.25">
      <c r="A11"/>
      <c r="B11" s="6" t="s">
        <v>31</v>
      </c>
      <c r="C11" s="6" t="s">
        <v>13</v>
      </c>
    </row>
    <row r="12" spans="1:3" x14ac:dyDescent="0.25">
      <c r="C12">
        <f>C8</f>
        <v>9.0110319541472155</v>
      </c>
    </row>
    <row r="13" spans="1:3" x14ac:dyDescent="0.25">
      <c r="B13" s="25">
        <v>1</v>
      </c>
      <c r="C13">
        <f t="dataTable" ref="C13:C42" dt2D="0" dtr="0" r1="C3"/>
        <v>1</v>
      </c>
    </row>
    <row r="14" spans="1:3" x14ac:dyDescent="0.25">
      <c r="B14" s="25">
        <v>2</v>
      </c>
      <c r="C14">
        <v>1.9576427255985267</v>
      </c>
    </row>
    <row r="15" spans="1:3" x14ac:dyDescent="0.25">
      <c r="B15" s="25">
        <v>3</v>
      </c>
      <c r="C15">
        <v>2.8667134954780931</v>
      </c>
    </row>
    <row r="16" spans="1:3" x14ac:dyDescent="0.25">
      <c r="B16" s="25">
        <v>4</v>
      </c>
      <c r="C16">
        <v>3.7213509650047718</v>
      </c>
    </row>
    <row r="17" spans="2:3" x14ac:dyDescent="0.25">
      <c r="B17" s="25">
        <v>5</v>
      </c>
      <c r="C17">
        <v>4.5163044045411684</v>
      </c>
    </row>
    <row r="18" spans="2:3" x14ac:dyDescent="0.25">
      <c r="B18" s="25">
        <v>6</v>
      </c>
      <c r="C18">
        <v>5.2471815830252062</v>
      </c>
    </row>
    <row r="19" spans="2:3" x14ac:dyDescent="0.25">
      <c r="B19" s="25">
        <v>7</v>
      </c>
      <c r="C19">
        <v>5.9106657258389088</v>
      </c>
    </row>
    <row r="20" spans="2:3" x14ac:dyDescent="0.25">
      <c r="B20" s="25">
        <v>8</v>
      </c>
      <c r="C20">
        <v>6.5046812244111258</v>
      </c>
    </row>
    <row r="21" spans="2:3" x14ac:dyDescent="0.25">
      <c r="B21" s="25">
        <v>9</v>
      </c>
      <c r="C21">
        <v>7.0284919781910027</v>
      </c>
    </row>
    <row r="22" spans="2:3" x14ac:dyDescent="0.25">
      <c r="B22" s="25">
        <v>10</v>
      </c>
      <c r="C22">
        <v>7.4827229715919046</v>
      </c>
    </row>
    <row r="23" spans="2:3" x14ac:dyDescent="0.25">
      <c r="B23" s="25">
        <v>11</v>
      </c>
      <c r="C23">
        <v>7.8693038847956034</v>
      </c>
    </row>
    <row r="24" spans="2:3" x14ac:dyDescent="0.25">
      <c r="B24" s="25">
        <v>12</v>
      </c>
      <c r="C24">
        <v>8.1913418241816274</v>
      </c>
    </row>
    <row r="25" spans="2:3" x14ac:dyDescent="0.25">
      <c r="B25" s="25">
        <v>13</v>
      </c>
      <c r="C25">
        <v>8.4529372481704375</v>
      </c>
    </row>
    <row r="26" spans="2:3" x14ac:dyDescent="0.25">
      <c r="B26" s="25">
        <v>14</v>
      </c>
      <c r="C26">
        <v>8.658961798812534</v>
      </c>
    </row>
    <row r="27" spans="2:3" x14ac:dyDescent="0.25">
      <c r="B27" s="25">
        <v>15</v>
      </c>
      <c r="C27">
        <v>8.8148185212053818</v>
      </c>
    </row>
    <row r="28" spans="2:3" x14ac:dyDescent="0.25">
      <c r="B28" s="25">
        <v>16</v>
      </c>
      <c r="C28">
        <v>8.9262039580375543</v>
      </c>
    </row>
    <row r="29" spans="2:3" x14ac:dyDescent="0.25">
      <c r="B29" s="25">
        <v>17</v>
      </c>
      <c r="C29">
        <v>8.9988884331805572</v>
      </c>
    </row>
    <row r="30" spans="2:3" x14ac:dyDescent="0.25">
      <c r="B30" s="25">
        <v>18</v>
      </c>
      <c r="C30">
        <v>9.0385263504512672</v>
      </c>
    </row>
    <row r="31" spans="2:3" x14ac:dyDescent="0.25">
      <c r="B31" s="25">
        <v>19</v>
      </c>
      <c r="C31">
        <v>9.0505034352808469</v>
      </c>
    </row>
    <row r="32" spans="2:3" x14ac:dyDescent="0.25">
      <c r="B32" s="25">
        <v>20</v>
      </c>
      <c r="C32">
        <v>9.0398232933309774</v>
      </c>
    </row>
    <row r="33" spans="2:3" x14ac:dyDescent="0.25">
      <c r="B33" s="25">
        <v>21</v>
      </c>
      <c r="C33">
        <v>9.0110319541472155</v>
      </c>
    </row>
    <row r="34" spans="2:3" x14ac:dyDescent="0.25">
      <c r="B34" s="25">
        <v>22</v>
      </c>
      <c r="C34">
        <v>8.968176442075972</v>
      </c>
    </row>
    <row r="35" spans="2:3" x14ac:dyDescent="0.25">
      <c r="B35" s="25">
        <v>23</v>
      </c>
      <c r="C35">
        <v>8.9147918759917051</v>
      </c>
    </row>
    <row r="36" spans="2:3" x14ac:dyDescent="0.25">
      <c r="B36" s="25">
        <v>24</v>
      </c>
      <c r="C36">
        <v>8.8539109955301036</v>
      </c>
    </row>
    <row r="37" spans="2:3" x14ac:dyDescent="0.25">
      <c r="B37" s="25">
        <v>25</v>
      </c>
      <c r="C37">
        <v>8.7880901193364664</v>
      </c>
    </row>
    <row r="38" spans="2:3" x14ac:dyDescent="0.25">
      <c r="B38" s="25">
        <v>26</v>
      </c>
      <c r="C38">
        <v>8.7194461204546059</v>
      </c>
    </row>
    <row r="39" spans="2:3" x14ac:dyDescent="0.25">
      <c r="B39" s="25">
        <v>27</v>
      </c>
      <c r="C39">
        <v>8.6496998416079602</v>
      </c>
    </row>
    <row r="40" spans="2:3" x14ac:dyDescent="0.25">
      <c r="B40" s="25">
        <v>28</v>
      </c>
      <c r="C40">
        <v>8.5802223013159473</v>
      </c>
    </row>
    <row r="41" spans="2:3" x14ac:dyDescent="0.25">
      <c r="B41" s="25">
        <v>29</v>
      </c>
      <c r="C41">
        <v>8.5120809441171588</v>
      </c>
    </row>
    <row r="42" spans="2:3" x14ac:dyDescent="0.25">
      <c r="B42" s="25">
        <v>30</v>
      </c>
      <c r="C42">
        <v>8.4460839941924402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AB70E-6E6F-4736-8BA1-85FE35F2477F}">
  <sheetPr codeName="Sheet7"/>
  <dimension ref="A1:C13"/>
  <sheetViews>
    <sheetView workbookViewId="0">
      <selection activeCell="B9" sqref="B9"/>
    </sheetView>
  </sheetViews>
  <sheetFormatPr defaultRowHeight="13.2" x14ac:dyDescent="0.25"/>
  <cols>
    <col min="1" max="1" width="35.109375" bestFit="1" customWidth="1"/>
    <col min="2" max="2" width="10.33203125" bestFit="1" customWidth="1"/>
  </cols>
  <sheetData>
    <row r="1" spans="1:3" x14ac:dyDescent="0.25">
      <c r="A1" t="s">
        <v>48</v>
      </c>
    </row>
    <row r="3" spans="1:3" x14ac:dyDescent="0.25">
      <c r="A3" t="s">
        <v>49</v>
      </c>
      <c r="B3" s="10">
        <v>44286</v>
      </c>
    </row>
    <row r="4" spans="1:3" x14ac:dyDescent="0.25">
      <c r="A4" t="s">
        <v>27</v>
      </c>
      <c r="B4" s="10">
        <v>44562</v>
      </c>
    </row>
    <row r="5" spans="1:3" x14ac:dyDescent="0.25">
      <c r="A5" t="s">
        <v>97</v>
      </c>
      <c r="B5" s="10">
        <f>DATE(2022, 1,1)</f>
        <v>44562</v>
      </c>
    </row>
    <row r="6" spans="1:3" x14ac:dyDescent="0.25">
      <c r="A6" t="s">
        <v>50</v>
      </c>
      <c r="B6">
        <f>YEARFRAC(B3,B4,)</f>
        <v>0.75277777777777777</v>
      </c>
    </row>
    <row r="7" spans="1:3" x14ac:dyDescent="0.25">
      <c r="A7" t="s">
        <v>9</v>
      </c>
      <c r="B7" s="5">
        <v>8.8999999999999996E-2</v>
      </c>
    </row>
    <row r="8" spans="1:3" x14ac:dyDescent="0.25">
      <c r="A8" t="s">
        <v>0</v>
      </c>
      <c r="B8">
        <v>1000</v>
      </c>
    </row>
    <row r="9" spans="1:3" x14ac:dyDescent="0.25">
      <c r="A9" t="s">
        <v>12</v>
      </c>
      <c r="B9">
        <v>1123</v>
      </c>
    </row>
    <row r="10" spans="1:3" x14ac:dyDescent="0.25">
      <c r="A10" t="s">
        <v>51</v>
      </c>
      <c r="B10">
        <v>5</v>
      </c>
    </row>
    <row r="11" spans="1:3" x14ac:dyDescent="0.25">
      <c r="A11" t="s">
        <v>52</v>
      </c>
      <c r="B11">
        <v>1.0000000000000001E-5</v>
      </c>
      <c r="C11" t="str">
        <f>"&lt;-"&amp;"Controls the accuraty of YTM"</f>
        <v>&lt;-Controls the accuraty of YTM</v>
      </c>
    </row>
    <row r="13" spans="1:3" x14ac:dyDescent="0.25">
      <c r="A13" t="s">
        <v>3</v>
      </c>
      <c r="B13" s="5" cm="1">
        <f t="array" ref="B13">UnevenYTM(B7,B8,B9,B10,B6,B11)</f>
        <v>6.3586430624127388E-2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9F10-CED9-4201-ABF3-44ECA9B4F63A}">
  <sheetPr codeName="Sheet8"/>
  <dimension ref="A1:V46"/>
  <sheetViews>
    <sheetView topLeftCell="D20" workbookViewId="0">
      <selection activeCell="F32" sqref="F32"/>
    </sheetView>
  </sheetViews>
  <sheetFormatPr defaultRowHeight="13.2" x14ac:dyDescent="0.25"/>
  <cols>
    <col min="1" max="1" width="53.77734375" bestFit="1" customWidth="1"/>
    <col min="2" max="2" width="12" bestFit="1" customWidth="1"/>
    <col min="3" max="3" width="23.88671875" bestFit="1" customWidth="1"/>
    <col min="5" max="5" width="9.33203125" bestFit="1" customWidth="1"/>
    <col min="20" max="20" width="4.88671875" bestFit="1" customWidth="1"/>
  </cols>
  <sheetData>
    <row r="1" spans="1:22" ht="21" customHeight="1" x14ac:dyDescent="0.25">
      <c r="A1" s="26" t="s">
        <v>58</v>
      </c>
    </row>
    <row r="2" spans="1:22" x14ac:dyDescent="0.25">
      <c r="A2" t="s">
        <v>56</v>
      </c>
      <c r="B2">
        <v>10</v>
      </c>
    </row>
    <row r="3" spans="1:22" x14ac:dyDescent="0.25">
      <c r="A3" t="s">
        <v>57</v>
      </c>
      <c r="B3" s="2">
        <v>7.0000000000000007E-2</v>
      </c>
    </row>
    <row r="4" spans="1:22" x14ac:dyDescent="0.25">
      <c r="A4" t="s">
        <v>10</v>
      </c>
      <c r="B4">
        <v>1000</v>
      </c>
    </row>
    <row r="5" spans="1:22" x14ac:dyDescent="0.25">
      <c r="A5" t="s">
        <v>3</v>
      </c>
      <c r="B5" s="2">
        <v>7.0000000000000007E-2</v>
      </c>
    </row>
    <row r="6" spans="1:22" x14ac:dyDescent="0.25">
      <c r="A6" t="s">
        <v>5</v>
      </c>
      <c r="B6" s="4">
        <f>-PV(B5,B2,B4*B3,B4,0)</f>
        <v>1000</v>
      </c>
      <c r="C6" t="str">
        <f ca="1">_xlfn.FORMULATEXT(B6)</f>
        <v>=-PV(B5,B2,B4*B3,B4,0)</v>
      </c>
      <c r="E6" s="4"/>
    </row>
    <row r="7" spans="1:22" x14ac:dyDescent="0.25">
      <c r="A7" t="s">
        <v>13</v>
      </c>
      <c r="B7" cm="1">
        <f t="array" ref="B7">DDuration(B2,B3,B5,1)</f>
        <v>7.5152322487978829</v>
      </c>
      <c r="C7" t="str">
        <f ca="1">_xlfn.FORMULATEXT(B7)</f>
        <v>=DDuration(B2,B3,B5,1)</v>
      </c>
    </row>
    <row r="8" spans="1:22" x14ac:dyDescent="0.25">
      <c r="A8" t="s">
        <v>98</v>
      </c>
      <c r="B8">
        <f>MDURATION(DATE(2025,5,16),DATE(2035,5,16),B3,B5,1)</f>
        <v>7.023581540932601</v>
      </c>
      <c r="C8">
        <f>B7/(1+B5)</f>
        <v>7.0235815409326001</v>
      </c>
    </row>
    <row r="10" spans="1:22" x14ac:dyDescent="0.25">
      <c r="A10" t="s">
        <v>59</v>
      </c>
      <c r="B10" s="5">
        <f>26%</f>
        <v>0.26</v>
      </c>
    </row>
    <row r="11" spans="1:22" x14ac:dyDescent="0.25">
      <c r="A11" t="s">
        <v>5</v>
      </c>
      <c r="B11" s="4">
        <f>-PV(B10,B2,B3*B4,B4,)</f>
        <v>341.68684381850528</v>
      </c>
      <c r="D11" cm="1">
        <f t="array" ref="D11">bondprice(B2,B3,B5)</f>
        <v>0.99999999999999967</v>
      </c>
    </row>
    <row r="12" spans="1:22" x14ac:dyDescent="0.25">
      <c r="A12" t="s">
        <v>60</v>
      </c>
      <c r="B12" s="4">
        <f>B6*(1-B7/(1+B5)*(B10-B5))</f>
        <v>-334.48049277719406</v>
      </c>
      <c r="C12" s="4">
        <f>B6*(1-B8*(B10-B5))</f>
        <v>-334.48049277719429</v>
      </c>
    </row>
    <row r="14" spans="1:22" x14ac:dyDescent="0.25">
      <c r="A14" t="s">
        <v>3</v>
      </c>
      <c r="B14" t="s">
        <v>63</v>
      </c>
      <c r="C14" t="s">
        <v>64</v>
      </c>
      <c r="U14" s="4">
        <f>B11</f>
        <v>341.68684381850528</v>
      </c>
      <c r="V14" s="4">
        <f>B12</f>
        <v>-334.48049277719406</v>
      </c>
    </row>
    <row r="15" spans="1:22" x14ac:dyDescent="0.25">
      <c r="B15" s="4">
        <f>B11</f>
        <v>341.68684381850528</v>
      </c>
      <c r="C15" s="4">
        <f>B12</f>
        <v>-334.48049277719406</v>
      </c>
      <c r="T15" s="2">
        <v>0.01</v>
      </c>
      <c r="U15" s="4">
        <f t="dataTable" ref="U15:V40" dt2D="0" dtr="0" r1="B10"/>
        <v>1568.2782718421013</v>
      </c>
      <c r="V15" s="4">
        <v>1421.4148924559561</v>
      </c>
    </row>
    <row r="16" spans="1:22" x14ac:dyDescent="0.25">
      <c r="A16" s="2">
        <v>0</v>
      </c>
      <c r="B16">
        <f t="dataTable" ref="B16:C46" dt2D="0" dtr="0" r1="B10" ca="1"/>
        <v>1700</v>
      </c>
      <c r="C16">
        <v>1491.6507078652821</v>
      </c>
      <c r="T16" s="2">
        <v>0.02</v>
      </c>
      <c r="U16">
        <v>1449.1292503121117</v>
      </c>
      <c r="V16">
        <v>1351.17907704663</v>
      </c>
    </row>
    <row r="17" spans="1:22" x14ac:dyDescent="0.25">
      <c r="A17" s="2">
        <v>0.01</v>
      </c>
      <c r="B17">
        <v>1568.2782718421013</v>
      </c>
      <c r="C17">
        <v>1421.4148924559561</v>
      </c>
      <c r="T17" s="2">
        <v>0.03</v>
      </c>
      <c r="U17">
        <v>1341.2081134710331</v>
      </c>
      <c r="V17">
        <v>1280.943261637304</v>
      </c>
    </row>
    <row r="18" spans="1:22" x14ac:dyDescent="0.25">
      <c r="A18" s="2">
        <v>0.02</v>
      </c>
      <c r="B18">
        <v>1449.1292503121117</v>
      </c>
      <c r="C18">
        <v>1351.17907704663</v>
      </c>
      <c r="T18" s="2">
        <v>0.04</v>
      </c>
      <c r="U18">
        <v>1243.326873380651</v>
      </c>
      <c r="V18">
        <v>1210.7074462279782</v>
      </c>
    </row>
    <row r="19" spans="1:22" x14ac:dyDescent="0.25">
      <c r="A19" s="2">
        <v>0.03</v>
      </c>
      <c r="B19">
        <v>1341.2081134710331</v>
      </c>
      <c r="C19">
        <v>1280.943261637304</v>
      </c>
      <c r="T19" s="2">
        <v>0.05</v>
      </c>
      <c r="U19">
        <v>1154.4346985836962</v>
      </c>
      <c r="V19">
        <v>1140.4716308186521</v>
      </c>
    </row>
    <row r="20" spans="1:22" x14ac:dyDescent="0.25">
      <c r="A20" s="2">
        <v>0.04</v>
      </c>
      <c r="B20">
        <v>1243.326873380651</v>
      </c>
      <c r="C20">
        <v>1210.7074462279782</v>
      </c>
      <c r="T20" s="2">
        <v>0.06</v>
      </c>
      <c r="U20">
        <v>1073.6008705141469</v>
      </c>
      <c r="V20">
        <v>1070.2358154093261</v>
      </c>
    </row>
    <row r="21" spans="1:22" x14ac:dyDescent="0.25">
      <c r="A21" s="2">
        <v>0.05</v>
      </c>
      <c r="B21">
        <v>1154.4346985836962</v>
      </c>
      <c r="C21">
        <v>1140.4716308186521</v>
      </c>
      <c r="T21" s="2">
        <v>7.0000000000000007E-2</v>
      </c>
      <c r="U21">
        <v>1000</v>
      </c>
      <c r="V21">
        <v>1000</v>
      </c>
    </row>
    <row r="22" spans="1:22" x14ac:dyDescent="0.25">
      <c r="A22" s="2">
        <v>0.06</v>
      </c>
      <c r="B22">
        <v>1073.6008705141469</v>
      </c>
      <c r="C22">
        <v>1070.2358154093261</v>
      </c>
      <c r="T22" s="2">
        <v>0.08</v>
      </c>
      <c r="U22">
        <v>932.89918601058559</v>
      </c>
      <c r="V22">
        <v>929.76418459067395</v>
      </c>
    </row>
    <row r="23" spans="1:22" x14ac:dyDescent="0.25">
      <c r="A23" s="2">
        <v>7.0000000000000007E-2</v>
      </c>
      <c r="B23">
        <v>1000</v>
      </c>
      <c r="C23">
        <v>1000</v>
      </c>
      <c r="T23" s="2">
        <v>0.09</v>
      </c>
      <c r="U23">
        <v>871.64684597681992</v>
      </c>
      <c r="V23">
        <v>859.52836918134801</v>
      </c>
    </row>
    <row r="24" spans="1:22" x14ac:dyDescent="0.25">
      <c r="A24" s="2">
        <v>0.08</v>
      </c>
      <c r="B24">
        <v>932.89918601058559</v>
      </c>
      <c r="C24">
        <v>929.76418459067395</v>
      </c>
      <c r="T24" s="2">
        <v>0.1</v>
      </c>
      <c r="U24">
        <v>815.66298682885952</v>
      </c>
      <c r="V24">
        <v>789.29255377202196</v>
      </c>
    </row>
    <row r="25" spans="1:22" x14ac:dyDescent="0.25">
      <c r="A25" s="2">
        <v>0.09</v>
      </c>
      <c r="B25">
        <v>871.64684597681992</v>
      </c>
      <c r="C25">
        <v>859.52836918134801</v>
      </c>
      <c r="T25" s="2">
        <v>0.11</v>
      </c>
      <c r="U25">
        <v>764.43071955435164</v>
      </c>
      <c r="V25">
        <v>719.05673836269602</v>
      </c>
    </row>
    <row r="26" spans="1:22" x14ac:dyDescent="0.25">
      <c r="A26" s="2">
        <v>0.1</v>
      </c>
      <c r="B26">
        <v>815.66298682885952</v>
      </c>
      <c r="C26">
        <v>789.29255377202196</v>
      </c>
      <c r="T26" s="2">
        <v>0.12</v>
      </c>
      <c r="U26">
        <v>717.48884857945666</v>
      </c>
      <c r="V26">
        <v>648.82092295337009</v>
      </c>
    </row>
    <row r="27" spans="1:22" x14ac:dyDescent="0.25">
      <c r="A27" s="2">
        <v>0.11</v>
      </c>
      <c r="B27">
        <v>764.43071955435164</v>
      </c>
      <c r="C27">
        <v>719.05673836269602</v>
      </c>
      <c r="T27" s="2">
        <v>0.13</v>
      </c>
      <c r="U27">
        <v>674.42539144282716</v>
      </c>
      <c r="V27">
        <v>578.58510754404404</v>
      </c>
    </row>
    <row r="28" spans="1:22" x14ac:dyDescent="0.25">
      <c r="A28" s="2">
        <v>0.12</v>
      </c>
      <c r="B28">
        <v>717.48884857945666</v>
      </c>
      <c r="C28">
        <v>648.82092295337009</v>
      </c>
      <c r="T28" s="2">
        <v>0.14000000000000001</v>
      </c>
      <c r="U28">
        <v>634.87190475944931</v>
      </c>
      <c r="V28">
        <v>508.34929213471793</v>
      </c>
    </row>
    <row r="29" spans="1:22" x14ac:dyDescent="0.25">
      <c r="A29" s="2">
        <v>0.13</v>
      </c>
      <c r="B29">
        <v>674.42539144282716</v>
      </c>
      <c r="C29">
        <v>578.58510754404404</v>
      </c>
      <c r="T29" s="2">
        <v>0.15</v>
      </c>
      <c r="U29">
        <v>598.49850993166183</v>
      </c>
      <c r="V29">
        <v>438.11347672539205</v>
      </c>
    </row>
    <row r="30" spans="1:22" x14ac:dyDescent="0.25">
      <c r="A30" s="2">
        <v>0.14000000000000001</v>
      </c>
      <c r="B30">
        <v>634.87190475944931</v>
      </c>
      <c r="C30">
        <v>508.34929213471793</v>
      </c>
      <c r="T30" s="2">
        <v>0.16</v>
      </c>
      <c r="U30">
        <v>565.00952693882755</v>
      </c>
      <c r="V30">
        <v>367.87766131606605</v>
      </c>
    </row>
    <row r="31" spans="1:22" x14ac:dyDescent="0.25">
      <c r="A31" s="2">
        <v>0.15</v>
      </c>
      <c r="B31">
        <v>598.49850993166183</v>
      </c>
      <c r="C31">
        <v>438.11347672539205</v>
      </c>
      <c r="T31" s="2">
        <v>0.17</v>
      </c>
      <c r="U31">
        <v>534.1396372266496</v>
      </c>
      <c r="V31">
        <v>297.64184590673995</v>
      </c>
    </row>
    <row r="32" spans="1:22" x14ac:dyDescent="0.25">
      <c r="A32" s="2">
        <v>0.16</v>
      </c>
      <c r="B32">
        <v>565.00952693882755</v>
      </c>
      <c r="C32">
        <v>367.87766131606605</v>
      </c>
      <c r="T32" s="2">
        <v>0.18</v>
      </c>
      <c r="U32">
        <v>505.6505075583147</v>
      </c>
      <c r="V32">
        <v>227.40603049741404</v>
      </c>
    </row>
    <row r="33" spans="1:22" x14ac:dyDescent="0.25">
      <c r="A33" s="2">
        <v>0.17</v>
      </c>
      <c r="B33">
        <v>534.1396372266496</v>
      </c>
      <c r="C33">
        <v>297.64184590673995</v>
      </c>
      <c r="T33" s="2">
        <v>0.19</v>
      </c>
      <c r="U33">
        <v>479.32781596484563</v>
      </c>
      <c r="V33">
        <v>157.17021508808804</v>
      </c>
    </row>
    <row r="34" spans="1:22" x14ac:dyDescent="0.25">
      <c r="A34" s="2">
        <v>0.18</v>
      </c>
      <c r="B34">
        <v>505.6505075583147</v>
      </c>
      <c r="C34">
        <v>227.40603049741404</v>
      </c>
      <c r="T34" s="2">
        <v>0.2</v>
      </c>
      <c r="U34">
        <v>454.97862887839966</v>
      </c>
      <c r="V34">
        <v>86.934399678761935</v>
      </c>
    </row>
    <row r="35" spans="1:22" x14ac:dyDescent="0.25">
      <c r="A35" s="2">
        <v>0.19</v>
      </c>
      <c r="B35">
        <v>479.32781596484563</v>
      </c>
      <c r="C35">
        <v>157.17021508808804</v>
      </c>
      <c r="T35" s="2">
        <v>0.21</v>
      </c>
      <c r="U35">
        <v>432.42908534942916</v>
      </c>
      <c r="V35">
        <v>16.698584269436047</v>
      </c>
    </row>
    <row r="36" spans="1:22" x14ac:dyDescent="0.25">
      <c r="A36" s="2">
        <v>0.2</v>
      </c>
      <c r="B36">
        <v>454.97862887839966</v>
      </c>
      <c r="C36">
        <v>86.934399678761935</v>
      </c>
      <c r="T36" s="2">
        <v>0.22</v>
      </c>
      <c r="U36">
        <v>411.52235010491182</v>
      </c>
      <c r="V36">
        <v>-53.537231139890061</v>
      </c>
    </row>
    <row r="37" spans="1:22" x14ac:dyDescent="0.25">
      <c r="A37" s="2">
        <v>0.21</v>
      </c>
      <c r="B37">
        <v>432.42908534942916</v>
      </c>
      <c r="C37">
        <v>16.698584269436047</v>
      </c>
      <c r="T37" s="2">
        <v>0.23</v>
      </c>
      <c r="U37">
        <v>392.11680224231606</v>
      </c>
      <c r="V37">
        <v>-123.77304654921595</v>
      </c>
    </row>
    <row r="38" spans="1:22" x14ac:dyDescent="0.25">
      <c r="A38" s="2">
        <v>0.22</v>
      </c>
      <c r="B38">
        <v>411.52235010491182</v>
      </c>
      <c r="C38">
        <v>-53.537231139890061</v>
      </c>
      <c r="T38" s="2">
        <v>0.24</v>
      </c>
      <c r="U38">
        <v>374.08443069269646</v>
      </c>
      <c r="V38">
        <v>-194.00886195854184</v>
      </c>
    </row>
    <row r="39" spans="1:22" x14ac:dyDescent="0.25">
      <c r="A39" s="2">
        <v>0.23</v>
      </c>
      <c r="B39">
        <v>392.11680224231606</v>
      </c>
      <c r="C39">
        <v>-123.77304654921595</v>
      </c>
      <c r="T39" s="2">
        <v>0.25</v>
      </c>
      <c r="U39">
        <v>357.30941132800001</v>
      </c>
      <c r="V39">
        <v>-264.24467736786795</v>
      </c>
    </row>
    <row r="40" spans="1:22" x14ac:dyDescent="0.25">
      <c r="A40" s="2">
        <v>0.24</v>
      </c>
      <c r="B40">
        <v>374.08443069269646</v>
      </c>
      <c r="C40">
        <v>-194.00886195854184</v>
      </c>
      <c r="T40" s="2">
        <v>0.26</v>
      </c>
      <c r="U40">
        <v>341.68684381850528</v>
      </c>
      <c r="V40">
        <v>-334.48049277719406</v>
      </c>
    </row>
    <row r="41" spans="1:22" x14ac:dyDescent="0.25">
      <c r="A41" s="2">
        <v>0.25</v>
      </c>
      <c r="B41">
        <v>357.30941132800001</v>
      </c>
      <c r="C41">
        <v>-264.24467736786795</v>
      </c>
      <c r="T41" s="2"/>
    </row>
    <row r="42" spans="1:22" x14ac:dyDescent="0.25">
      <c r="A42" s="2">
        <v>0.26</v>
      </c>
      <c r="B42">
        <v>341.68684381850528</v>
      </c>
      <c r="C42">
        <v>-334.48049277719406</v>
      </c>
      <c r="T42" s="2"/>
    </row>
    <row r="43" spans="1:22" x14ac:dyDescent="0.25">
      <c r="A43" s="2">
        <v>0.27</v>
      </c>
      <c r="B43">
        <v>327.12162913950283</v>
      </c>
      <c r="C43">
        <v>-404.71630818652017</v>
      </c>
      <c r="T43" s="2"/>
    </row>
    <row r="44" spans="1:22" x14ac:dyDescent="0.25">
      <c r="A44" s="2">
        <v>0.28000000000000003</v>
      </c>
      <c r="B44">
        <v>313.52747104407246</v>
      </c>
      <c r="C44">
        <v>-474.95212359584627</v>
      </c>
      <c r="T44" s="2"/>
    </row>
    <row r="45" spans="1:22" x14ac:dyDescent="0.25">
      <c r="A45" s="2">
        <v>0.28999999999999998</v>
      </c>
      <c r="B45">
        <v>300.8259869140939</v>
      </c>
      <c r="C45">
        <v>-545.18793900517198</v>
      </c>
      <c r="T45" s="2"/>
    </row>
    <row r="46" spans="1:22" x14ac:dyDescent="0.25">
      <c r="A46" s="2">
        <v>0.3</v>
      </c>
      <c r="B46">
        <v>288.94591521957773</v>
      </c>
      <c r="C46">
        <v>-615.42375441449781</v>
      </c>
      <c r="T46" s="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E6FE8-BB32-49DB-88F3-711E6D9BC646}">
  <sheetPr codeName="Sheet9"/>
  <dimension ref="A1:I58"/>
  <sheetViews>
    <sheetView topLeftCell="D1" zoomScale="66" workbookViewId="0">
      <selection activeCell="J41" sqref="J41"/>
    </sheetView>
  </sheetViews>
  <sheetFormatPr defaultRowHeight="13.2" x14ac:dyDescent="0.25"/>
  <cols>
    <col min="1" max="1" width="23.44140625" bestFit="1" customWidth="1"/>
    <col min="2" max="2" width="13" bestFit="1" customWidth="1"/>
    <col min="3" max="3" width="48.21875" bestFit="1" customWidth="1"/>
    <col min="4" max="4" width="22.6640625" bestFit="1" customWidth="1"/>
    <col min="6" max="6" width="9.33203125" bestFit="1" customWidth="1"/>
  </cols>
  <sheetData>
    <row r="1" spans="1:9" x14ac:dyDescent="0.25">
      <c r="A1" s="41" t="s">
        <v>61</v>
      </c>
      <c r="B1" s="41"/>
      <c r="C1" s="41"/>
      <c r="D1" s="41"/>
      <c r="E1" s="41"/>
      <c r="F1" s="41"/>
      <c r="G1" s="41"/>
      <c r="H1" s="41"/>
      <c r="I1" s="41"/>
    </row>
    <row r="2" spans="1:9" x14ac:dyDescent="0.25">
      <c r="A2" t="s">
        <v>56</v>
      </c>
      <c r="B2">
        <v>10</v>
      </c>
    </row>
    <row r="3" spans="1:9" x14ac:dyDescent="0.25">
      <c r="A3" t="s">
        <v>57</v>
      </c>
      <c r="B3" s="2">
        <v>7.0000000000000007E-2</v>
      </c>
    </row>
    <row r="4" spans="1:9" x14ac:dyDescent="0.25">
      <c r="A4" t="s">
        <v>10</v>
      </c>
      <c r="B4">
        <v>1000</v>
      </c>
    </row>
    <row r="5" spans="1:9" x14ac:dyDescent="0.25">
      <c r="A5" t="s">
        <v>3</v>
      </c>
      <c r="B5" s="2">
        <v>7.0000000000000007E-2</v>
      </c>
    </row>
    <row r="6" spans="1:9" x14ac:dyDescent="0.25">
      <c r="A6" t="s">
        <v>5</v>
      </c>
      <c r="B6" s="4">
        <f>-PV(B5,B2,B4*B3,B4,0)</f>
        <v>1000</v>
      </c>
      <c r="C6" t="str">
        <f ca="1">_xlfn.FORMULATEXT(B6)</f>
        <v>=-PV(B5,B2,B4*B3,B4,0)</v>
      </c>
    </row>
    <row r="7" spans="1:9" x14ac:dyDescent="0.25">
      <c r="A7" t="s">
        <v>13</v>
      </c>
      <c r="B7" cm="1">
        <f t="array" ref="B7">DDuration(B2,B3,B5,1)</f>
        <v>7.5152322487978829</v>
      </c>
      <c r="C7" t="str">
        <f t="shared" ref="C7:C8" ca="1" si="0">_xlfn.FORMULATEXT(B7)</f>
        <v>=DDuration(B2,B3,B5,1)</v>
      </c>
    </row>
    <row r="8" spans="1:9" x14ac:dyDescent="0.25">
      <c r="A8" t="s">
        <v>62</v>
      </c>
      <c r="B8" s="27">
        <f>NPV(B5,C11:C20)/(B6*(1+B5)^2)</f>
        <v>64.932959344478078</v>
      </c>
      <c r="C8" t="str">
        <f t="shared" ca="1" si="0"/>
        <v>=NPV(B5,C11:C20)/(B6*(1+B5)^2)</v>
      </c>
    </row>
    <row r="10" spans="1:9" x14ac:dyDescent="0.25">
      <c r="A10" t="s">
        <v>32</v>
      </c>
      <c r="B10" t="s">
        <v>65</v>
      </c>
      <c r="C10" t="s">
        <v>66</v>
      </c>
    </row>
    <row r="11" spans="1:9" x14ac:dyDescent="0.25">
      <c r="A11">
        <v>1</v>
      </c>
      <c r="B11">
        <f>$B$4*$B$5</f>
        <v>70</v>
      </c>
      <c r="C11">
        <f>(A11^2+A11)*B11</f>
        <v>140</v>
      </c>
    </row>
    <row r="12" spans="1:9" x14ac:dyDescent="0.25">
      <c r="A12">
        <v>2</v>
      </c>
      <c r="B12">
        <f t="shared" ref="B12:B19" si="1">$B$4*$B$5</f>
        <v>70</v>
      </c>
      <c r="C12">
        <f>(A12^2+A12)*B12</f>
        <v>420</v>
      </c>
    </row>
    <row r="13" spans="1:9" x14ac:dyDescent="0.25">
      <c r="A13">
        <v>3</v>
      </c>
      <c r="B13">
        <f t="shared" si="1"/>
        <v>70</v>
      </c>
      <c r="C13">
        <f t="shared" ref="C13:C20" si="2">(A13^2+A13)*B13</f>
        <v>840</v>
      </c>
    </row>
    <row r="14" spans="1:9" x14ac:dyDescent="0.25">
      <c r="A14">
        <v>4</v>
      </c>
      <c r="B14">
        <f t="shared" si="1"/>
        <v>70</v>
      </c>
      <c r="C14">
        <f t="shared" si="2"/>
        <v>1400</v>
      </c>
    </row>
    <row r="15" spans="1:9" x14ac:dyDescent="0.25">
      <c r="A15">
        <v>5</v>
      </c>
      <c r="B15">
        <f t="shared" si="1"/>
        <v>70</v>
      </c>
      <c r="C15">
        <f t="shared" si="2"/>
        <v>2100</v>
      </c>
    </row>
    <row r="16" spans="1:9" x14ac:dyDescent="0.25">
      <c r="A16">
        <v>6</v>
      </c>
      <c r="B16">
        <f t="shared" si="1"/>
        <v>70</v>
      </c>
      <c r="C16">
        <f t="shared" si="2"/>
        <v>2940</v>
      </c>
    </row>
    <row r="17" spans="1:6" x14ac:dyDescent="0.25">
      <c r="A17">
        <v>7</v>
      </c>
      <c r="B17">
        <f t="shared" si="1"/>
        <v>70</v>
      </c>
      <c r="C17">
        <f t="shared" si="2"/>
        <v>3920</v>
      </c>
    </row>
    <row r="18" spans="1:6" x14ac:dyDescent="0.25">
      <c r="A18">
        <v>8</v>
      </c>
      <c r="B18">
        <f t="shared" si="1"/>
        <v>70</v>
      </c>
      <c r="C18">
        <f t="shared" si="2"/>
        <v>5040</v>
      </c>
    </row>
    <row r="19" spans="1:6" x14ac:dyDescent="0.25">
      <c r="A19">
        <v>9</v>
      </c>
      <c r="B19">
        <f t="shared" si="1"/>
        <v>70</v>
      </c>
      <c r="C19">
        <f t="shared" si="2"/>
        <v>6300</v>
      </c>
    </row>
    <row r="20" spans="1:6" x14ac:dyDescent="0.25">
      <c r="A20">
        <v>10</v>
      </c>
      <c r="B20" s="4">
        <f>$B$4*$B$5+B6</f>
        <v>1070</v>
      </c>
      <c r="C20">
        <f t="shared" si="2"/>
        <v>117700</v>
      </c>
    </row>
    <row r="22" spans="1:6" x14ac:dyDescent="0.25">
      <c r="A22" t="s">
        <v>59</v>
      </c>
      <c r="B22" s="2">
        <v>0.05</v>
      </c>
    </row>
    <row r="23" spans="1:6" x14ac:dyDescent="0.25">
      <c r="A23" t="s">
        <v>12</v>
      </c>
      <c r="B23" s="4">
        <f>-PV(B22,B2,B4*B5,B4,0)</f>
        <v>1154.4346985836962</v>
      </c>
      <c r="C23" t="str">
        <f ca="1">_xlfn.FORMULATEXT(B23)</f>
        <v>=-PV(B22,B2,B4*B5,B4,0)</v>
      </c>
      <c r="F23" s="4">
        <f>-PV(B22,B2,B3*B4,B4,0)</f>
        <v>1154.4346985836962</v>
      </c>
    </row>
    <row r="24" spans="1:6" x14ac:dyDescent="0.25">
      <c r="A24" t="s">
        <v>67</v>
      </c>
      <c r="B24" s="4">
        <f>B6*(1-B7/(1+B5)*(B22-B5))</f>
        <v>1140.4716308186521</v>
      </c>
      <c r="C24" t="str">
        <f t="shared" ref="C24:C25" ca="1" si="3">_xlfn.FORMULATEXT(B24)</f>
        <v>=B6*(1-B7/(1+B5)*(B22-B5))</v>
      </c>
    </row>
    <row r="25" spans="1:6" x14ac:dyDescent="0.25">
      <c r="A25" t="s">
        <v>68</v>
      </c>
      <c r="B25" s="4">
        <f>B6*(1-B7/(1+B5)*(B22-B5)+0.5*B8*(B22-B5)^2)</f>
        <v>1153.4582226875475</v>
      </c>
      <c r="C25" t="str">
        <f t="shared" ca="1" si="3"/>
        <v>=B6*(1-B7/(1+B5)*(B22-B5)+0.5*B8*(B22-B5)^2)</v>
      </c>
    </row>
    <row r="27" spans="1:6" x14ac:dyDescent="0.25">
      <c r="A27" t="s">
        <v>3</v>
      </c>
      <c r="B27" t="s">
        <v>63</v>
      </c>
      <c r="C27" t="s">
        <v>69</v>
      </c>
      <c r="D27" t="s">
        <v>70</v>
      </c>
    </row>
    <row r="28" spans="1:6" x14ac:dyDescent="0.25">
      <c r="B28" s="4">
        <f>B23</f>
        <v>1154.4346985836962</v>
      </c>
      <c r="C28" s="4">
        <f>B24</f>
        <v>1140.4716308186521</v>
      </c>
      <c r="D28" s="4">
        <f>B25</f>
        <v>1153.4582226875475</v>
      </c>
    </row>
    <row r="29" spans="1:6" x14ac:dyDescent="0.25">
      <c r="A29" s="2">
        <v>0.01</v>
      </c>
      <c r="B29">
        <f t="dataTable" ref="B29:D48" dt2D="0" dtr="0" r1="B22"/>
        <v>1568.2782718421013</v>
      </c>
      <c r="C29">
        <v>1421.4148924559561</v>
      </c>
      <c r="D29">
        <v>1538.2942192760165</v>
      </c>
    </row>
    <row r="30" spans="1:6" x14ac:dyDescent="0.25">
      <c r="A30" s="2">
        <v>0.02</v>
      </c>
      <c r="B30">
        <v>1449.1292503121117</v>
      </c>
      <c r="C30">
        <v>1351.17907704663</v>
      </c>
      <c r="D30">
        <v>1432.3452762272277</v>
      </c>
    </row>
    <row r="31" spans="1:6" x14ac:dyDescent="0.25">
      <c r="A31" s="2">
        <v>0.03</v>
      </c>
      <c r="B31">
        <v>1341.2081134710331</v>
      </c>
      <c r="C31">
        <v>1280.943261637304</v>
      </c>
      <c r="D31">
        <v>1332.8896291128865</v>
      </c>
    </row>
    <row r="32" spans="1:6" x14ac:dyDescent="0.25">
      <c r="A32" s="2">
        <v>0.04</v>
      </c>
      <c r="B32">
        <v>1243.326873380651</v>
      </c>
      <c r="C32">
        <v>1210.7074462279782</v>
      </c>
      <c r="D32">
        <v>1239.9272779329933</v>
      </c>
    </row>
    <row r="33" spans="1:4" x14ac:dyDescent="0.25">
      <c r="A33" s="2">
        <v>0.05</v>
      </c>
      <c r="B33">
        <v>1154.4346985836962</v>
      </c>
      <c r="C33">
        <v>1140.4716308186521</v>
      </c>
      <c r="D33">
        <v>1153.4582226875475</v>
      </c>
    </row>
    <row r="34" spans="1:4" x14ac:dyDescent="0.25">
      <c r="A34" s="2">
        <v>0.06</v>
      </c>
      <c r="B34">
        <v>1073.6008705141469</v>
      </c>
      <c r="C34">
        <v>1070.2358154093261</v>
      </c>
      <c r="D34">
        <v>1073.48246337655</v>
      </c>
    </row>
    <row r="35" spans="1:4" x14ac:dyDescent="0.25">
      <c r="A35" s="2">
        <v>7.0000000000000007E-2</v>
      </c>
      <c r="B35">
        <v>1000</v>
      </c>
      <c r="C35">
        <v>1000</v>
      </c>
      <c r="D35">
        <v>1000</v>
      </c>
    </row>
    <row r="36" spans="1:4" x14ac:dyDescent="0.25">
      <c r="A36" s="2">
        <v>0.08</v>
      </c>
      <c r="B36">
        <v>932.89918601058559</v>
      </c>
      <c r="C36">
        <v>929.76418459067395</v>
      </c>
      <c r="D36">
        <v>933.01083255789786</v>
      </c>
    </row>
    <row r="37" spans="1:4" x14ac:dyDescent="0.25">
      <c r="A37" s="2">
        <v>0.09</v>
      </c>
      <c r="B37">
        <v>871.64684597681992</v>
      </c>
      <c r="C37">
        <v>859.52836918134801</v>
      </c>
      <c r="D37">
        <v>872.51496105024364</v>
      </c>
    </row>
    <row r="38" spans="1:4" x14ac:dyDescent="0.25">
      <c r="A38" s="2">
        <v>0.1</v>
      </c>
      <c r="B38">
        <v>815.66298682885952</v>
      </c>
      <c r="C38">
        <v>789.29255377202196</v>
      </c>
      <c r="D38">
        <v>818.51238547703724</v>
      </c>
    </row>
    <row r="39" spans="1:4" x14ac:dyDescent="0.25">
      <c r="A39" s="2">
        <v>0.11</v>
      </c>
      <c r="B39">
        <v>764.43071955435164</v>
      </c>
      <c r="C39">
        <v>719.05673836269602</v>
      </c>
      <c r="D39">
        <v>771.00310583827843</v>
      </c>
    </row>
    <row r="40" spans="1:4" x14ac:dyDescent="0.25">
      <c r="A40" s="2">
        <v>0.12</v>
      </c>
      <c r="B40">
        <v>717.48884857945666</v>
      </c>
      <c r="C40">
        <v>648.82092295337009</v>
      </c>
      <c r="D40">
        <v>729.98712213396766</v>
      </c>
    </row>
    <row r="41" spans="1:4" x14ac:dyDescent="0.25">
      <c r="A41" s="2">
        <v>0.13</v>
      </c>
      <c r="B41">
        <v>674.42539144282716</v>
      </c>
      <c r="C41">
        <v>578.58510754404404</v>
      </c>
      <c r="D41">
        <v>695.46443436410459</v>
      </c>
    </row>
    <row r="42" spans="1:4" x14ac:dyDescent="0.25">
      <c r="A42" s="2">
        <v>0.14000000000000001</v>
      </c>
      <c r="B42">
        <v>634.87190475944931</v>
      </c>
      <c r="C42">
        <v>508.34929213471793</v>
      </c>
      <c r="D42">
        <v>667.43504252868922</v>
      </c>
    </row>
    <row r="43" spans="1:4" x14ac:dyDescent="0.25">
      <c r="A43" s="2">
        <v>0.15</v>
      </c>
      <c r="B43">
        <v>598.49850993166183</v>
      </c>
      <c r="C43">
        <v>438.11347672539205</v>
      </c>
      <c r="D43">
        <v>645.8989466277219</v>
      </c>
    </row>
    <row r="44" spans="1:4" x14ac:dyDescent="0.25">
      <c r="A44" s="2">
        <v>0.16</v>
      </c>
      <c r="B44">
        <v>565.00952693882755</v>
      </c>
      <c r="C44">
        <v>367.87766131606605</v>
      </c>
      <c r="D44">
        <v>630.85614666120216</v>
      </c>
    </row>
    <row r="45" spans="1:4" x14ac:dyDescent="0.25">
      <c r="A45" s="2">
        <v>0.17</v>
      </c>
      <c r="B45">
        <v>534.1396372266496</v>
      </c>
      <c r="C45">
        <v>297.64184590673995</v>
      </c>
      <c r="D45">
        <v>622.30664262913035</v>
      </c>
    </row>
    <row r="46" spans="1:4" x14ac:dyDescent="0.25">
      <c r="A46" s="2">
        <v>0.18</v>
      </c>
      <c r="B46">
        <v>505.6505075583147</v>
      </c>
      <c r="C46">
        <v>227.40603049741404</v>
      </c>
      <c r="D46">
        <v>620.25043453150624</v>
      </c>
    </row>
    <row r="47" spans="1:4" x14ac:dyDescent="0.25">
      <c r="A47" s="2">
        <v>0.19</v>
      </c>
      <c r="B47">
        <v>479.32781596484563</v>
      </c>
      <c r="C47">
        <v>157.17021508808804</v>
      </c>
      <c r="D47">
        <v>624.68752236833018</v>
      </c>
    </row>
    <row r="48" spans="1:4" x14ac:dyDescent="0.25">
      <c r="A48" s="2">
        <v>0.2</v>
      </c>
      <c r="B48">
        <v>454.97862887839966</v>
      </c>
      <c r="C48">
        <v>86.934399678761935</v>
      </c>
      <c r="D48">
        <v>635.61790613960181</v>
      </c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</sheetData>
  <mergeCells count="1">
    <mergeCell ref="A1:I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A5977-693D-497B-92BD-9173F515A390}">
  <sheetPr codeName="Sheet10"/>
  <dimension ref="A1:I42"/>
  <sheetViews>
    <sheetView topLeftCell="C1" workbookViewId="0">
      <selection activeCell="P13" sqref="P13"/>
    </sheetView>
  </sheetViews>
  <sheetFormatPr defaultRowHeight="13.2" x14ac:dyDescent="0.25"/>
  <cols>
    <col min="1" max="1" width="33.33203125" bestFit="1" customWidth="1"/>
    <col min="2" max="4" width="12" bestFit="1" customWidth="1"/>
  </cols>
  <sheetData>
    <row r="1" spans="1:9" ht="18" x14ac:dyDescent="0.35">
      <c r="A1" s="42" t="s">
        <v>71</v>
      </c>
      <c r="B1" s="42"/>
      <c r="C1" s="42"/>
      <c r="D1" s="42"/>
      <c r="E1" s="42"/>
      <c r="F1" s="42"/>
      <c r="G1" s="42"/>
      <c r="H1" s="42"/>
      <c r="I1" s="42"/>
    </row>
    <row r="2" spans="1:9" x14ac:dyDescent="0.25">
      <c r="A2" t="s">
        <v>3</v>
      </c>
      <c r="B2" s="2">
        <v>0.06</v>
      </c>
    </row>
    <row r="3" spans="1:9" x14ac:dyDescent="0.25">
      <c r="B3" t="s">
        <v>72</v>
      </c>
      <c r="C3" t="s">
        <v>73</v>
      </c>
      <c r="D3" t="s">
        <v>74</v>
      </c>
    </row>
    <row r="4" spans="1:9" x14ac:dyDescent="0.25">
      <c r="A4" t="s">
        <v>75</v>
      </c>
      <c r="B4" s="5">
        <v>6.5000000000000002E-2</v>
      </c>
      <c r="C4" s="2">
        <v>7.0000000000000007E-2</v>
      </c>
      <c r="D4" s="5">
        <v>5.5E-2</v>
      </c>
    </row>
    <row r="5" spans="1:9" x14ac:dyDescent="0.25">
      <c r="A5" t="s">
        <v>11</v>
      </c>
      <c r="B5">
        <v>10</v>
      </c>
      <c r="C5">
        <v>15</v>
      </c>
      <c r="D5">
        <v>30</v>
      </c>
    </row>
    <row r="6" spans="1:9" x14ac:dyDescent="0.25">
      <c r="A6" t="s">
        <v>10</v>
      </c>
      <c r="B6">
        <v>1000</v>
      </c>
      <c r="C6">
        <v>1000</v>
      </c>
      <c r="D6">
        <v>1000</v>
      </c>
    </row>
    <row r="7" spans="1:9" x14ac:dyDescent="0.25">
      <c r="A7" t="s">
        <v>12</v>
      </c>
      <c r="B7" s="4">
        <f>-PV($B$2,B5,B6*B4,B6,0)</f>
        <v>1036.8004352570733</v>
      </c>
      <c r="C7" s="4">
        <f t="shared" ref="C7:D7" si="0">-PV($B$2,C5,C6*C4,C6,0)</f>
        <v>1097.1224898774101</v>
      </c>
      <c r="D7" s="4">
        <f t="shared" si="0"/>
        <v>931.1758442425529</v>
      </c>
    </row>
    <row r="8" spans="1:9" x14ac:dyDescent="0.25">
      <c r="A8" t="s">
        <v>76</v>
      </c>
      <c r="B8" s="4">
        <f>B6/B7*B6</f>
        <v>964.50576793213952</v>
      </c>
      <c r="C8" s="4">
        <f t="shared" ref="C8:D8" si="1">C6/C7*C6</f>
        <v>911.47525388139445</v>
      </c>
      <c r="D8" s="4">
        <f t="shared" si="1"/>
        <v>1073.911019259129</v>
      </c>
    </row>
    <row r="9" spans="1:9" x14ac:dyDescent="0.25">
      <c r="A9" t="s">
        <v>13</v>
      </c>
      <c r="B9" cm="1">
        <f t="array" ref="B9">DDuration(B5,B4,$B$2,1)</f>
        <v>7.7030294789871512</v>
      </c>
      <c r="C9" cm="1">
        <f t="array" ref="C9">DDuration(C5,C4,$B$2,1)</f>
        <v>9.9967433270764516</v>
      </c>
      <c r="D9" cm="1">
        <f t="array" ref="D9">DDuration(D5,D4,$B$2,1)</f>
        <v>14.830821713064694</v>
      </c>
    </row>
    <row r="11" spans="1:9" x14ac:dyDescent="0.25">
      <c r="A11" t="s">
        <v>77</v>
      </c>
    </row>
    <row r="12" spans="1:9" x14ac:dyDescent="0.25">
      <c r="A12" t="s">
        <v>78</v>
      </c>
      <c r="B12" s="2">
        <v>0.05</v>
      </c>
    </row>
    <row r="13" spans="1:9" x14ac:dyDescent="0.25">
      <c r="B13" t="s">
        <v>72</v>
      </c>
      <c r="C13" t="s">
        <v>73</v>
      </c>
      <c r="D13" t="s">
        <v>74</v>
      </c>
    </row>
    <row r="14" spans="1:9" x14ac:dyDescent="0.25">
      <c r="A14" t="s">
        <v>79</v>
      </c>
      <c r="B14" s="4">
        <f>-PV($B$12,B5-10,B4*B6,B6,0)</f>
        <v>1000</v>
      </c>
      <c r="C14" s="4">
        <f>-PV($B$12,C5-10,C4*C6,C6,0)</f>
        <v>1086.5895334126164</v>
      </c>
      <c r="D14" s="4">
        <f>-PV($B$12,D5-10,D4*D6,D6,0)</f>
        <v>1062.3110517127</v>
      </c>
    </row>
    <row r="15" spans="1:9" x14ac:dyDescent="0.25">
      <c r="A15" t="s">
        <v>80</v>
      </c>
      <c r="B15" s="4">
        <f>-FV($B$12,10,B4*B6)</f>
        <v>817.56301481067396</v>
      </c>
      <c r="C15" s="4">
        <f t="shared" ref="C15:D15" si="2">-FV($B$12,10,C4*C6)</f>
        <v>880.45247748841814</v>
      </c>
      <c r="D15" s="4">
        <f t="shared" si="2"/>
        <v>691.78408945518572</v>
      </c>
    </row>
    <row r="16" spans="1:9" x14ac:dyDescent="0.25">
      <c r="A16" t="s">
        <v>81</v>
      </c>
      <c r="B16" s="4">
        <f>SUM(B14:B15)</f>
        <v>1817.5630148106738</v>
      </c>
      <c r="C16" s="4">
        <f t="shared" ref="C16:D16" si="3">SUM(C14:C15)</f>
        <v>1967.0420109010347</v>
      </c>
      <c r="D16" s="4">
        <f t="shared" si="3"/>
        <v>1754.0951411678857</v>
      </c>
    </row>
    <row r="17" spans="1:4" x14ac:dyDescent="0.25">
      <c r="A17" t="s">
        <v>82</v>
      </c>
      <c r="B17" s="28">
        <f>B8/B6</f>
        <v>0.96450576793213949</v>
      </c>
      <c r="C17" s="28">
        <f t="shared" ref="C17:D17" si="4">C8/C6</f>
        <v>0.9114752538813945</v>
      </c>
      <c r="D17" s="28">
        <f t="shared" si="4"/>
        <v>1.073911019259129</v>
      </c>
    </row>
    <row r="18" spans="1:4" x14ac:dyDescent="0.25">
      <c r="A18" t="s">
        <v>83</v>
      </c>
      <c r="B18" s="4">
        <f>B17*B16</f>
        <v>1753.0500113650237</v>
      </c>
      <c r="C18" s="4">
        <f t="shared" ref="C18:D18" si="5">C17*C16</f>
        <v>1792.9101162813893</v>
      </c>
      <c r="D18" s="4">
        <f t="shared" si="5"/>
        <v>1883.7421009290899</v>
      </c>
    </row>
    <row r="20" spans="1:4" x14ac:dyDescent="0.25">
      <c r="A20" t="s">
        <v>84</v>
      </c>
      <c r="B20" t="s">
        <v>72</v>
      </c>
      <c r="C20" t="s">
        <v>73</v>
      </c>
      <c r="D20" t="s">
        <v>74</v>
      </c>
    </row>
    <row r="21" spans="1:4" x14ac:dyDescent="0.25">
      <c r="B21" s="4">
        <f>B18</f>
        <v>1753.0500113650237</v>
      </c>
      <c r="C21" s="4">
        <f>C18</f>
        <v>1792.9101162813893</v>
      </c>
      <c r="D21" s="4">
        <f>D18</f>
        <v>1883.7421009290899</v>
      </c>
    </row>
    <row r="22" spans="1:4" x14ac:dyDescent="0.25">
      <c r="A22" s="29">
        <v>0</v>
      </c>
      <c r="B22">
        <f t="dataTable" ref="B22:D42" dt2D="0" dtr="0" r1="B12"/>
        <v>1591.4345170880301</v>
      </c>
      <c r="C22">
        <v>1868.5242704568586</v>
      </c>
      <c r="D22">
        <v>2845.8642010366921</v>
      </c>
    </row>
    <row r="23" spans="1:4" x14ac:dyDescent="0.25">
      <c r="A23" s="29">
        <v>0.01</v>
      </c>
      <c r="B23">
        <v>1620.4119501129126</v>
      </c>
      <c r="C23">
        <v>1844.4255503905019</v>
      </c>
      <c r="D23">
        <v>2563.9320306744421</v>
      </c>
    </row>
    <row r="24" spans="1:4" x14ac:dyDescent="0.25">
      <c r="A24" s="29">
        <v>0.02</v>
      </c>
      <c r="B24">
        <v>1650.9752569293037</v>
      </c>
      <c r="C24">
        <v>1824.9133199617265</v>
      </c>
      <c r="D24">
        <v>2335.2569071584053</v>
      </c>
    </row>
    <row r="25" spans="1:4" x14ac:dyDescent="0.25">
      <c r="A25" s="29">
        <v>0.03</v>
      </c>
      <c r="B25">
        <v>1683.209319653583</v>
      </c>
      <c r="C25">
        <v>1809.8798061396092</v>
      </c>
      <c r="D25">
        <v>2150.4533714264594</v>
      </c>
    </row>
    <row r="26" spans="1:4" x14ac:dyDescent="0.25">
      <c r="A26" s="29">
        <v>0.04</v>
      </c>
      <c r="B26">
        <v>1717.2031400149467</v>
      </c>
      <c r="C26">
        <v>1799.2358982251446</v>
      </c>
      <c r="D26">
        <v>2001.9750280932483</v>
      </c>
    </row>
    <row r="27" spans="1:4" x14ac:dyDescent="0.25">
      <c r="A27" s="29">
        <v>0.05</v>
      </c>
      <c r="B27">
        <v>1753.0500113650237</v>
      </c>
      <c r="C27">
        <v>1792.9101162813893</v>
      </c>
      <c r="D27">
        <v>1883.7421009290899</v>
      </c>
    </row>
    <row r="28" spans="1:4" x14ac:dyDescent="0.25">
      <c r="A28" s="29">
        <v>0.06</v>
      </c>
      <c r="B28">
        <v>1790.8476965428547</v>
      </c>
      <c r="C28">
        <v>1790.8476965428545</v>
      </c>
      <c r="D28">
        <v>1790.8476965428545</v>
      </c>
    </row>
    <row r="29" spans="1:4" x14ac:dyDescent="0.25">
      <c r="A29" s="29">
        <v>7.0000000000000007E-2</v>
      </c>
      <c r="B29">
        <v>1830.6986117463814</v>
      </c>
      <c r="C29">
        <v>1793.0097828086366</v>
      </c>
      <c r="D29">
        <v>1719.3255539075208</v>
      </c>
    </row>
    <row r="30" spans="1:4" x14ac:dyDescent="0.25">
      <c r="A30" s="29">
        <v>0.08</v>
      </c>
      <c r="B30">
        <v>1872.710016564293</v>
      </c>
      <c r="C30">
        <v>1799.3727140380593</v>
      </c>
      <c r="D30">
        <v>1665.9659505028185</v>
      </c>
    </row>
    <row r="31" spans="1:4" x14ac:dyDescent="0.25">
      <c r="A31" s="29">
        <v>0.09</v>
      </c>
      <c r="B31">
        <v>1916.9942103246276</v>
      </c>
      <c r="C31">
        <v>1809.9273994402931</v>
      </c>
      <c r="D31">
        <v>1628.1694219508092</v>
      </c>
    </row>
    <row r="32" spans="1:4" x14ac:dyDescent="0.25">
      <c r="A32" s="29">
        <v>0.1</v>
      </c>
      <c r="B32">
        <v>1963.6687349192655</v>
      </c>
      <c r="C32">
        <v>1824.6787732985356</v>
      </c>
      <c r="D32">
        <v>1603.8302484969229</v>
      </c>
    </row>
    <row r="33" spans="1:4" x14ac:dyDescent="0.25">
      <c r="A33" s="29">
        <v>0.11</v>
      </c>
      <c r="B33">
        <v>2012.8565842660889</v>
      </c>
      <c r="C33">
        <v>1843.645322609784</v>
      </c>
      <c r="D33">
        <v>1591.2434324202354</v>
      </c>
    </row>
    <row r="34" spans="1:4" x14ac:dyDescent="0.25">
      <c r="A34" s="29">
        <v>0.12</v>
      </c>
      <c r="B34">
        <v>2064.6864205733145</v>
      </c>
      <c r="C34">
        <v>1866.8586813666216</v>
      </c>
      <c r="D34">
        <v>1589.0302593134197</v>
      </c>
    </row>
    <row r="35" spans="1:4" x14ac:dyDescent="0.25">
      <c r="A35" s="29">
        <v>0.13</v>
      </c>
      <c r="B35">
        <v>2119.2927975732341</v>
      </c>
      <c r="C35">
        <v>1894.363285969114</v>
      </c>
      <c r="D35">
        <v>1596.078597037465</v>
      </c>
    </row>
    <row r="36" spans="1:4" x14ac:dyDescent="0.25">
      <c r="A36" s="29">
        <v>0.14000000000000001</v>
      </c>
      <c r="B36">
        <v>2176.8163908953693</v>
      </c>
      <c r="C36">
        <v>1926.2160868430724</v>
      </c>
      <c r="D36">
        <v>1611.4949103730758</v>
      </c>
    </row>
    <row r="37" spans="1:4" x14ac:dyDescent="0.25">
      <c r="A37" s="29">
        <v>0.15</v>
      </c>
      <c r="B37">
        <v>2237.4042357517428</v>
      </c>
      <c r="C37">
        <v>1962.4863118641917</v>
      </c>
      <c r="D37">
        <v>1634.5656113176774</v>
      </c>
    </row>
    <row r="38" spans="1:4" x14ac:dyDescent="0.25">
      <c r="A38" s="29">
        <v>0.16</v>
      </c>
      <c r="B38">
        <v>2301.209972109963</v>
      </c>
      <c r="C38">
        <v>2003.2552776540067</v>
      </c>
      <c r="D38">
        <v>1664.7258661374055</v>
      </c>
    </row>
    <row r="39" spans="1:4" x14ac:dyDescent="0.25">
      <c r="A39" s="29">
        <v>0.17</v>
      </c>
      <c r="B39">
        <v>2368.3940975323553</v>
      </c>
      <c r="C39">
        <v>2048.6162452290887</v>
      </c>
      <c r="D39">
        <v>1701.534372475212</v>
      </c>
    </row>
    <row r="40" spans="1:4" x14ac:dyDescent="0.25">
      <c r="A40" s="29">
        <v>0.18</v>
      </c>
      <c r="B40">
        <v>2439.1242278625127</v>
      </c>
      <c r="C40">
        <v>2098.6743168565126</v>
      </c>
      <c r="D40">
        <v>1744.652927452473</v>
      </c>
    </row>
    <row r="41" spans="1:4" x14ac:dyDescent="0.25">
      <c r="A41" s="29">
        <v>0.19</v>
      </c>
      <c r="B41">
        <v>2513.5753659432926</v>
      </c>
      <c r="C41">
        <v>2153.5463713001782</v>
      </c>
      <c r="D41">
        <v>1793.829849568669</v>
      </c>
    </row>
    <row r="42" spans="1:4" x14ac:dyDescent="0.25">
      <c r="A42" s="29">
        <v>0.2</v>
      </c>
      <c r="B42">
        <v>2591.9301785532944</v>
      </c>
      <c r="C42">
        <v>2213.3610349397131</v>
      </c>
      <c r="D42">
        <v>1848.8865077962371</v>
      </c>
    </row>
  </sheetData>
  <mergeCells count="1">
    <mergeCell ref="A1:I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F9E1E-0344-409A-8E0A-D3D7DB89BEFE}">
  <sheetPr codeName="Sheet11"/>
  <dimension ref="A1:I51"/>
  <sheetViews>
    <sheetView topLeftCell="A7" zoomScale="67" workbookViewId="0">
      <selection activeCell="O56" sqref="O56"/>
    </sheetView>
  </sheetViews>
  <sheetFormatPr defaultRowHeight="13.2" x14ac:dyDescent="0.25"/>
  <cols>
    <col min="1" max="1" width="33.33203125" bestFit="1" customWidth="1"/>
    <col min="2" max="5" width="12" bestFit="1" customWidth="1"/>
  </cols>
  <sheetData>
    <row r="1" spans="1:9" ht="18" x14ac:dyDescent="0.35">
      <c r="A1" s="42" t="s">
        <v>85</v>
      </c>
      <c r="B1" s="42"/>
      <c r="C1" s="42"/>
      <c r="D1" s="42"/>
      <c r="E1" s="42"/>
      <c r="F1" s="42"/>
      <c r="G1" s="42"/>
      <c r="H1" s="42"/>
      <c r="I1" s="42"/>
    </row>
    <row r="2" spans="1:9" x14ac:dyDescent="0.25">
      <c r="A2" t="s">
        <v>3</v>
      </c>
      <c r="B2" s="2">
        <v>0.06</v>
      </c>
    </row>
    <row r="3" spans="1:9" x14ac:dyDescent="0.25">
      <c r="B3" t="s">
        <v>72</v>
      </c>
      <c r="C3" t="s">
        <v>73</v>
      </c>
      <c r="D3" t="s">
        <v>74</v>
      </c>
    </row>
    <row r="4" spans="1:9" x14ac:dyDescent="0.25">
      <c r="A4" t="s">
        <v>75</v>
      </c>
      <c r="B4" s="5">
        <v>6.5000000000000002E-2</v>
      </c>
      <c r="C4" s="2">
        <v>7.0000000000000007E-2</v>
      </c>
      <c r="D4" s="5">
        <v>5.5E-2</v>
      </c>
    </row>
    <row r="5" spans="1:9" x14ac:dyDescent="0.25">
      <c r="A5" t="s">
        <v>11</v>
      </c>
      <c r="B5">
        <v>10</v>
      </c>
      <c r="C5">
        <v>15</v>
      </c>
      <c r="D5">
        <v>30</v>
      </c>
    </row>
    <row r="6" spans="1:9" x14ac:dyDescent="0.25">
      <c r="A6" t="s">
        <v>10</v>
      </c>
      <c r="B6">
        <v>1000</v>
      </c>
      <c r="C6">
        <v>1000</v>
      </c>
      <c r="D6">
        <v>1000</v>
      </c>
    </row>
    <row r="7" spans="1:9" x14ac:dyDescent="0.25">
      <c r="A7" t="s">
        <v>12</v>
      </c>
      <c r="B7" s="4">
        <f>-PV($B$2,B5,B6*B4,B6,0)</f>
        <v>1036.8004352570733</v>
      </c>
      <c r="C7" s="4">
        <f t="shared" ref="C7:D7" si="0">-PV($B$2,C5,C6*C4,C6,0)</f>
        <v>1097.1224898774101</v>
      </c>
      <c r="D7" s="4">
        <f t="shared" si="0"/>
        <v>931.1758442425529</v>
      </c>
      <c r="E7" t="e" cm="1">
        <f t="array" aca="1" ref="E7" ca="1">getformula(D7)</f>
        <v>#NAME?</v>
      </c>
    </row>
    <row r="8" spans="1:9" x14ac:dyDescent="0.25">
      <c r="A8" t="s">
        <v>76</v>
      </c>
      <c r="B8" s="4">
        <f>B6/B7*B6</f>
        <v>964.50576793213952</v>
      </c>
      <c r="C8" s="4">
        <f t="shared" ref="C8:D8" si="1">C6/C7*C6</f>
        <v>911.47525388139445</v>
      </c>
      <c r="D8" s="4">
        <f t="shared" si="1"/>
        <v>1073.911019259129</v>
      </c>
      <c r="E8" t="e" cm="1">
        <f t="array" aca="1" ref="E8" ca="1">getformula(D8)</f>
        <v>#NAME?</v>
      </c>
    </row>
    <row r="9" spans="1:9" x14ac:dyDescent="0.25">
      <c r="A9" t="s">
        <v>13</v>
      </c>
      <c r="B9" cm="1">
        <f t="array" ref="B9">DDuration(B5,B4,$B$2,1)</f>
        <v>7.7030294789871512</v>
      </c>
      <c r="C9" cm="1">
        <f t="array" ref="C9">DDuration(C5,C4,$B$2,1)</f>
        <v>9.9967433270764516</v>
      </c>
      <c r="D9" cm="1">
        <f t="array" ref="D9">DDuration(D5,D4,$B$2,1)</f>
        <v>14.830821713064694</v>
      </c>
      <c r="E9" t="e" cm="1">
        <f t="array" aca="1" ref="E9" ca="1">getformula(D9)</f>
        <v>#NAME?</v>
      </c>
    </row>
    <row r="11" spans="1:9" ht="14.4" x14ac:dyDescent="0.3">
      <c r="A11" t="s">
        <v>87</v>
      </c>
      <c r="B11">
        <f>(10-D9)/(B9-D9)</f>
        <v>0.67774446201852345</v>
      </c>
    </row>
    <row r="12" spans="1:9" x14ac:dyDescent="0.25">
      <c r="A12" t="s">
        <v>99</v>
      </c>
      <c r="B12">
        <f>1-B11</f>
        <v>0.32225553798147655</v>
      </c>
    </row>
    <row r="13" spans="1:9" x14ac:dyDescent="0.25">
      <c r="A13" t="s">
        <v>88</v>
      </c>
      <c r="B13">
        <f>B11*B9+B12*D9</f>
        <v>10</v>
      </c>
    </row>
    <row r="15" spans="1:9" x14ac:dyDescent="0.25">
      <c r="A15" t="s">
        <v>77</v>
      </c>
    </row>
    <row r="16" spans="1:9" x14ac:dyDescent="0.25">
      <c r="A16" t="s">
        <v>78</v>
      </c>
      <c r="B16" s="2">
        <v>0.05</v>
      </c>
    </row>
    <row r="17" spans="1:5" ht="39.6" x14ac:dyDescent="0.25">
      <c r="B17" t="s">
        <v>72</v>
      </c>
      <c r="C17" t="s">
        <v>73</v>
      </c>
      <c r="D17" t="s">
        <v>74</v>
      </c>
      <c r="E17" s="30" t="s">
        <v>86</v>
      </c>
    </row>
    <row r="18" spans="1:5" x14ac:dyDescent="0.25">
      <c r="A18" t="s">
        <v>79</v>
      </c>
      <c r="B18" s="4">
        <f>-PV($B$16,B5-10,B4*B6,B6,0)</f>
        <v>1000</v>
      </c>
      <c r="C18" s="4">
        <f>-PV($B$16,C5-10,C4*C6,C6,0)</f>
        <v>1086.5895334126164</v>
      </c>
      <c r="D18" s="4">
        <f>-PV($B$16,D5-10,D4*D6,D6,0)</f>
        <v>1062.3110517127</v>
      </c>
    </row>
    <row r="19" spans="1:5" x14ac:dyDescent="0.25">
      <c r="A19" t="s">
        <v>80</v>
      </c>
      <c r="B19" s="4">
        <f>-FV($B$16,10,B4*B6)</f>
        <v>817.56301481067396</v>
      </c>
      <c r="C19" s="4">
        <f>-FV($B$16,10,C4*C6)</f>
        <v>880.45247748841814</v>
      </c>
      <c r="D19" s="4">
        <f>-FV($B$16,10,D4*D6)</f>
        <v>691.78408945518572</v>
      </c>
    </row>
    <row r="20" spans="1:5" x14ac:dyDescent="0.25">
      <c r="A20" t="s">
        <v>81</v>
      </c>
      <c r="B20" s="4">
        <f>SUM(B18:B19)</f>
        <v>1817.5630148106738</v>
      </c>
      <c r="C20" s="4">
        <f t="shared" ref="C20:D20" si="2">SUM(C18:C19)</f>
        <v>1967.0420109010347</v>
      </c>
      <c r="D20" s="4">
        <f t="shared" si="2"/>
        <v>1754.0951411678857</v>
      </c>
    </row>
    <row r="21" spans="1:5" x14ac:dyDescent="0.25">
      <c r="A21" t="s">
        <v>82</v>
      </c>
      <c r="B21" s="28">
        <f>B8/B6</f>
        <v>0.96450576793213949</v>
      </c>
      <c r="C21" s="28">
        <f>C8/C6</f>
        <v>0.9114752538813945</v>
      </c>
      <c r="D21" s="28">
        <f>D8/D6</f>
        <v>1.073911019259129</v>
      </c>
    </row>
    <row r="22" spans="1:5" x14ac:dyDescent="0.25">
      <c r="A22" t="s">
        <v>83</v>
      </c>
      <c r="B22" s="4">
        <f>B21*B20</f>
        <v>1753.0500113650237</v>
      </c>
      <c r="C22" s="4">
        <f t="shared" ref="C22:D22" si="3">C21*C20</f>
        <v>1792.9101162813893</v>
      </c>
      <c r="D22" s="4">
        <f t="shared" si="3"/>
        <v>1883.7421009290899</v>
      </c>
      <c r="E22" s="4">
        <f>B22*B11+D22*B12</f>
        <v>1795.1662609974151</v>
      </c>
    </row>
    <row r="24" spans="1:5" ht="39.6" x14ac:dyDescent="0.25">
      <c r="A24" t="s">
        <v>84</v>
      </c>
      <c r="B24" t="s">
        <v>72</v>
      </c>
      <c r="C24" t="s">
        <v>73</v>
      </c>
      <c r="D24" t="s">
        <v>74</v>
      </c>
      <c r="E24" s="30" t="s">
        <v>86</v>
      </c>
    </row>
    <row r="25" spans="1:5" x14ac:dyDescent="0.25">
      <c r="B25" s="4">
        <f>C22</f>
        <v>1792.9101162813893</v>
      </c>
      <c r="C25" s="4">
        <f>C22</f>
        <v>1792.9101162813893</v>
      </c>
      <c r="D25" s="4">
        <f>D22</f>
        <v>1883.7421009290899</v>
      </c>
      <c r="E25">
        <f>E22</f>
        <v>1795.1662609974151</v>
      </c>
    </row>
    <row r="26" spans="1:5" x14ac:dyDescent="0.25">
      <c r="A26" s="2">
        <v>0</v>
      </c>
      <c r="B26">
        <f t="dataTable" ref="B26:E51" dt2D="0" dtr="0" r1="B16"/>
        <v>1868.5242704568586</v>
      </c>
      <c r="C26">
        <v>1868.5242704568586</v>
      </c>
      <c r="D26">
        <v>2845.8642010366921</v>
      </c>
      <c r="E26">
        <v>1995.6814297488399</v>
      </c>
    </row>
    <row r="27" spans="1:5" x14ac:dyDescent="0.25">
      <c r="A27" s="2">
        <v>0.01</v>
      </c>
      <c r="B27">
        <v>1844.4255503905019</v>
      </c>
      <c r="C27">
        <v>1844.4255503905019</v>
      </c>
      <c r="D27">
        <v>2563.9320306744421</v>
      </c>
      <c r="E27">
        <v>1924.4665212705943</v>
      </c>
    </row>
    <row r="28" spans="1:5" x14ac:dyDescent="0.25">
      <c r="A28" s="2">
        <v>0.02</v>
      </c>
      <c r="B28">
        <v>1824.9133199617265</v>
      </c>
      <c r="C28">
        <v>1824.9133199617265</v>
      </c>
      <c r="D28">
        <v>2335.2569071584053</v>
      </c>
      <c r="E28">
        <v>1871.4888082547354</v>
      </c>
    </row>
    <row r="29" spans="1:5" x14ac:dyDescent="0.25">
      <c r="A29" s="2">
        <v>0.03</v>
      </c>
      <c r="B29">
        <v>1809.8798061396092</v>
      </c>
      <c r="C29">
        <v>1809.8798061396092</v>
      </c>
      <c r="D29">
        <v>2150.4533714264594</v>
      </c>
      <c r="E29">
        <v>1833.7813029262961</v>
      </c>
    </row>
    <row r="30" spans="1:5" x14ac:dyDescent="0.25">
      <c r="A30" s="2">
        <v>0.04</v>
      </c>
      <c r="B30">
        <v>1799.2358982251446</v>
      </c>
      <c r="C30">
        <v>1799.2358982251446</v>
      </c>
      <c r="D30">
        <v>2001.9750280932483</v>
      </c>
      <c r="E30">
        <v>1808.9724580096206</v>
      </c>
    </row>
    <row r="31" spans="1:5" x14ac:dyDescent="0.25">
      <c r="A31" s="2">
        <v>0.05</v>
      </c>
      <c r="B31">
        <v>1792.9101162813893</v>
      </c>
      <c r="C31">
        <v>1792.9101162813893</v>
      </c>
      <c r="D31">
        <v>1883.7421009290899</v>
      </c>
      <c r="E31">
        <v>1795.1662609974151</v>
      </c>
    </row>
    <row r="32" spans="1:5" x14ac:dyDescent="0.25">
      <c r="A32" s="2">
        <v>0.06</v>
      </c>
      <c r="B32">
        <v>1790.8476965428545</v>
      </c>
      <c r="C32">
        <v>1790.8476965428545</v>
      </c>
      <c r="D32">
        <v>1790.8476965428545</v>
      </c>
      <c r="E32">
        <v>1790.8476965428547</v>
      </c>
    </row>
    <row r="33" spans="1:5" x14ac:dyDescent="0.25">
      <c r="A33" s="2">
        <v>7.0000000000000007E-2</v>
      </c>
      <c r="B33">
        <v>1793.0097828086366</v>
      </c>
      <c r="C33">
        <v>1793.0097828086366</v>
      </c>
      <c r="D33">
        <v>1719.3255539075208</v>
      </c>
      <c r="E33">
        <v>1794.8080270758774</v>
      </c>
    </row>
    <row r="34" spans="1:5" x14ac:dyDescent="0.25">
      <c r="A34" s="2">
        <v>0.08</v>
      </c>
      <c r="B34">
        <v>1799.3727140380593</v>
      </c>
      <c r="C34">
        <v>1799.3727140380593</v>
      </c>
      <c r="D34">
        <v>1665.9659505028185</v>
      </c>
      <c r="E34">
        <v>1806.0855963311747</v>
      </c>
    </row>
    <row r="35" spans="1:5" x14ac:dyDescent="0.25">
      <c r="A35" s="2">
        <v>0.09</v>
      </c>
      <c r="B35">
        <v>1809.9273994402931</v>
      </c>
      <c r="C35">
        <v>1809.9273994402931</v>
      </c>
      <c r="D35">
        <v>1628.1694219508092</v>
      </c>
      <c r="E35">
        <v>1823.9188227648367</v>
      </c>
    </row>
    <row r="36" spans="1:5" x14ac:dyDescent="0.25">
      <c r="A36" s="2">
        <v>0.1</v>
      </c>
      <c r="B36">
        <v>1824.6787732985356</v>
      </c>
      <c r="C36">
        <v>1824.6787732985356</v>
      </c>
      <c r="D36">
        <v>1603.8302484969229</v>
      </c>
      <c r="E36">
        <v>1847.7087898907935</v>
      </c>
    </row>
    <row r="37" spans="1:5" x14ac:dyDescent="0.25">
      <c r="A37" s="2">
        <v>0.11</v>
      </c>
      <c r="B37">
        <v>1843.645322609784</v>
      </c>
      <c r="C37">
        <v>1843.645322609784</v>
      </c>
      <c r="D37">
        <v>1591.2434324202354</v>
      </c>
      <c r="E37">
        <v>1876.9894111979374</v>
      </c>
    </row>
    <row r="38" spans="1:5" x14ac:dyDescent="0.25">
      <c r="A38" s="2">
        <v>0.12</v>
      </c>
      <c r="B38">
        <v>1866.8586813666216</v>
      </c>
      <c r="C38">
        <v>1866.8586813666216</v>
      </c>
      <c r="D38">
        <v>1589.0302593134197</v>
      </c>
      <c r="E38">
        <v>1911.403588432303</v>
      </c>
    </row>
    <row r="39" spans="1:5" x14ac:dyDescent="0.25">
      <c r="A39" s="2">
        <v>0.13</v>
      </c>
      <c r="B39">
        <v>1894.363285969114</v>
      </c>
      <c r="C39">
        <v>1894.363285969114</v>
      </c>
      <c r="D39">
        <v>1596.078597037465</v>
      </c>
      <c r="E39">
        <v>1950.6841239000319</v>
      </c>
    </row>
    <row r="40" spans="1:5" x14ac:dyDescent="0.25">
      <c r="A40" s="2">
        <v>0.14000000000000001</v>
      </c>
      <c r="B40">
        <v>1926.2160868430724</v>
      </c>
      <c r="C40">
        <v>1926.2160868430724</v>
      </c>
      <c r="D40">
        <v>1611.4949103730758</v>
      </c>
      <c r="E40">
        <v>1994.6384130571728</v>
      </c>
    </row>
    <row r="41" spans="1:5" x14ac:dyDescent="0.25">
      <c r="A41" s="2">
        <v>0.15</v>
      </c>
      <c r="B41">
        <v>1962.4863118641917</v>
      </c>
      <c r="C41">
        <v>1962.4863118641917</v>
      </c>
      <c r="D41">
        <v>1634.5656113176774</v>
      </c>
      <c r="E41">
        <v>2043.1361505187297</v>
      </c>
    </row>
    <row r="42" spans="1:5" x14ac:dyDescent="0.25">
      <c r="A42" s="2">
        <v>0.16</v>
      </c>
      <c r="B42">
        <v>2003.2552776540067</v>
      </c>
      <c r="C42">
        <v>2003.2552776540067</v>
      </c>
      <c r="D42">
        <v>1664.7258661374055</v>
      </c>
      <c r="E42">
        <v>2096.0994441231173</v>
      </c>
    </row>
    <row r="43" spans="1:5" x14ac:dyDescent="0.25">
      <c r="A43" s="2">
        <v>0.17</v>
      </c>
      <c r="B43">
        <v>2048.6162452290887</v>
      </c>
      <c r="C43">
        <v>2048.6162452290887</v>
      </c>
      <c r="D43">
        <v>1701.534372475212</v>
      </c>
      <c r="E43">
        <v>2153.494858075886</v>
      </c>
    </row>
    <row r="44" spans="1:5" x14ac:dyDescent="0.25">
      <c r="A44" s="2">
        <v>0.18</v>
      </c>
      <c r="B44">
        <v>2098.6743168565126</v>
      </c>
      <c r="C44">
        <v>2098.6743168565126</v>
      </c>
      <c r="D44">
        <v>1744.652927452473</v>
      </c>
      <c r="E44">
        <v>2215.3270053361798</v>
      </c>
    </row>
    <row r="45" spans="1:5" x14ac:dyDescent="0.25">
      <c r="A45" s="2">
        <v>0.19</v>
      </c>
      <c r="B45">
        <v>2153.5463713001782</v>
      </c>
      <c r="C45">
        <v>2153.5463713001782</v>
      </c>
      <c r="D45">
        <v>1793.829849568669</v>
      </c>
      <c r="E45">
        <v>2281.6333873542326</v>
      </c>
    </row>
    <row r="46" spans="1:5" x14ac:dyDescent="0.25">
      <c r="A46" s="2">
        <v>0.2</v>
      </c>
      <c r="B46">
        <v>2213.3610349397131</v>
      </c>
      <c r="C46">
        <v>2213.3610349397131</v>
      </c>
      <c r="D46">
        <v>1848.8865077962371</v>
      </c>
      <c r="E46">
        <v>2352.4802406897479</v>
      </c>
    </row>
    <row r="47" spans="1:5" x14ac:dyDescent="0.25">
      <c r="A47" s="2">
        <v>0.21</v>
      </c>
      <c r="B47">
        <v>2278.2586865095732</v>
      </c>
      <c r="C47">
        <v>2278.2586865095732</v>
      </c>
      <c r="D47">
        <v>1909.7063617926005</v>
      </c>
      <c r="E47">
        <v>2427.9591985504294</v>
      </c>
    </row>
    <row r="48" spans="1:5" x14ac:dyDescent="0.25">
      <c r="A48" s="2">
        <v>0.22</v>
      </c>
      <c r="B48">
        <v>2348.3914934445893</v>
      </c>
      <c r="C48">
        <v>2348.3914934445893</v>
      </c>
      <c r="D48">
        <v>1976.2260362957463</v>
      </c>
      <c r="E48">
        <v>2508.1846136868653</v>
      </c>
    </row>
    <row r="49" spans="1:5" x14ac:dyDescent="0.25">
      <c r="A49" s="2">
        <v>0.23</v>
      </c>
      <c r="B49">
        <v>2423.9234780323532</v>
      </c>
      <c r="C49">
        <v>2423.9234780323532</v>
      </c>
      <c r="D49">
        <v>2048.4280472819423</v>
      </c>
      <c r="E49">
        <v>2593.291419539064</v>
      </c>
    </row>
    <row r="50" spans="1:5" x14ac:dyDescent="0.25">
      <c r="A50" s="2">
        <v>0.24</v>
      </c>
      <c r="B50">
        <v>2505.0306117653399</v>
      </c>
      <c r="C50">
        <v>2505.0306117653399</v>
      </c>
      <c r="D50">
        <v>2126.3348725988626</v>
      </c>
      <c r="E50">
        <v>2683.4334307445074</v>
      </c>
    </row>
    <row r="51" spans="1:5" x14ac:dyDescent="0.25">
      <c r="A51" s="2">
        <v>0.25</v>
      </c>
      <c r="B51">
        <v>2591.9009364588642</v>
      </c>
      <c r="C51">
        <v>2591.9009364588642</v>
      </c>
      <c r="D51">
        <v>2210.0041196450356</v>
      </c>
      <c r="E51">
        <v>2778.7820034091183</v>
      </c>
    </row>
  </sheetData>
  <mergeCells count="1">
    <mergeCell ref="A1: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Duration1</vt:lpstr>
      <vt:lpstr>Basic Duration</vt:lpstr>
      <vt:lpstr>Duration as Price Elasticity</vt:lpstr>
      <vt:lpstr>Babcock's Formula</vt:lpstr>
      <vt:lpstr>Effect of coupon on D</vt:lpstr>
      <vt:lpstr>Effect of Maturity on D</vt:lpstr>
      <vt:lpstr>YTM of uneven periods</vt:lpstr>
      <vt:lpstr>Convexity of Bond</vt:lpstr>
      <vt:lpstr>Duration and convexity approxim</vt:lpstr>
      <vt:lpstr>Basic Immunisation</vt:lpstr>
      <vt:lpstr>Duration convexity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KAUSHIKI choubey</dc:creator>
  <cp:lastModifiedBy>KAUSHIKI choubey</cp:lastModifiedBy>
  <dcterms:created xsi:type="dcterms:W3CDTF">2025-03-20T11:18:53Z</dcterms:created>
  <dcterms:modified xsi:type="dcterms:W3CDTF">2025-11-12T15:41:21Z</dcterms:modified>
</cp:coreProperties>
</file>